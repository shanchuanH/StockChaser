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I链全景清单" sheetId="1" state="visible" r:id="rId1"/>
    <sheet xmlns:r="http://schemas.openxmlformats.org/officeDocument/2006/relationships" name="建仓核心池" sheetId="2" state="visible" r:id="rId2"/>
    <sheet xmlns:r="http://schemas.openxmlformats.org/officeDocument/2006/relationships" name="中美互证对照" sheetId="3" state="visible" r:id="rId3"/>
    <sheet xmlns:r="http://schemas.openxmlformats.org/officeDocument/2006/relationships" name="图例·说明" sheetId="4" state="visible" r:id="rId4"/>
  </sheets>
  <definedNames>
    <definedName name="_xlnm._FilterDatabase" localSheetId="0" hidden="1">'AI链全景清单'!$A$1:$AC$114</definedName>
    <definedName name="_xlnm._FilterDatabase" localSheetId="1" hidden="1">'建仓核心池'!$A$3:$AC$15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\$#,##0.0"/>
    <numFmt numFmtId="167" formatCode="0.0"/>
    <numFmt numFmtId="168" formatCode="yyyy\-mm\-dd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DejaVu Sans"/>
      <family val="2"/>
      <b val="1"/>
      <sz val="10"/>
    </font>
    <font>
      <name val="DejaVu Sans"/>
      <family val="2"/>
      <sz val="10"/>
    </font>
    <font>
      <name val="Arial"/>
      <charset val="1"/>
      <family val="0"/>
      <b val="1"/>
      <color rgb="FFC00000"/>
      <sz val="11"/>
    </font>
    <font>
      <name val="DejaVu Sans"/>
      <charset val="1"/>
      <family val="2"/>
      <sz val="10"/>
    </font>
    <font>
      <name val="Arial"/>
      <charset val="1"/>
      <family val="0"/>
      <b val="1"/>
      <color rgb="FFC00000"/>
      <sz val="10"/>
    </font>
    <font>
      <name val="DejaVu Sans"/>
      <family val="2"/>
      <b val="1"/>
      <color rgb="FFC00000"/>
      <sz val="14"/>
    </font>
    <font>
      <name val="DejaVu Sans"/>
      <charset val="1"/>
      <family val="2"/>
      <b val="1"/>
      <color rgb="FFC00000"/>
      <sz val="14"/>
    </font>
    <font>
      <name val="DejaVu Sans"/>
      <family val="2"/>
      <color rgb="FF595959"/>
      <sz val="10"/>
    </font>
    <font>
      <name val="DejaVu Sans"/>
      <charset val="1"/>
      <family val="2"/>
      <color rgb="FF595959"/>
      <sz val="10"/>
    </font>
    <font>
      <name val="Arial"/>
      <charset val="1"/>
      <family val="0"/>
      <b val="1"/>
      <color rgb="FF1F4E78"/>
      <sz val="14"/>
    </font>
    <font>
      <name val="DejaVu Sans"/>
      <family val="2"/>
      <b val="1"/>
      <color rgb="FF1F4E78"/>
      <sz val="14"/>
    </font>
    <font>
      <name val="DejaVu Sans"/>
      <family val="2"/>
      <b val="1"/>
      <color rgb="FF1F4E78"/>
      <sz val="12"/>
    </font>
    <font>
      <name val="DejaVu Sans"/>
      <charset val="1"/>
      <family val="2"/>
      <b val="1"/>
      <color rgb="FF1F4E78"/>
      <sz val="12"/>
    </font>
    <font>
      <name val="DejaVu Sans"/>
      <family val="2"/>
      <b val="1"/>
      <color rgb="FFC00000"/>
      <sz val="11"/>
    </font>
    <font>
      <name val="DejaVu Sans"/>
      <charset val="1"/>
      <family val="2"/>
      <b val="1"/>
      <color rgb="FFC00000"/>
      <sz val="11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</fonts>
  <fills count="30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2E75B6"/>
        <bgColor rgb="FF305496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E8F0FE"/>
        <bgColor rgb="FFE7E6E6"/>
      </patternFill>
    </fill>
    <fill>
      <patternFill patternType="solid">
        <fgColor rgb="FFC6EFCE"/>
        <bgColor rgb="FFD9EAD3"/>
      </patternFill>
    </fill>
    <fill>
      <patternFill patternType="solid">
        <fgColor rgb="FFFFFF99"/>
        <bgColor rgb="FFFFEB9C"/>
      </patternFill>
    </fill>
    <fill>
      <patternFill patternType="solid">
        <fgColor rgb="FFE7E6E6"/>
        <bgColor rgb="FFD9EAD3"/>
      </patternFill>
    </fill>
    <fill>
      <patternFill patternType="solid">
        <fgColor rgb="FFFFEB9C"/>
        <bgColor rgb="FFFFE599"/>
      </patternFill>
    </fill>
    <fill>
      <patternFill patternType="solid">
        <fgColor rgb="FFD9EAD3"/>
        <bgColor rgb="FFE7E6E6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FCCCC"/>
      </patternFill>
    </fill>
    <fill>
      <patternFill patternType="solid">
        <fgColor rgb="FFD9D2E9"/>
        <bgColor rgb="FFEAD1DC"/>
      </patternFill>
    </fill>
    <fill>
      <patternFill patternType="solid">
        <fgColor rgb="FFFFC7CE"/>
        <bgColor rgb="FFFFCCCC"/>
      </patternFill>
    </fill>
    <fill>
      <patternFill patternType="solid">
        <fgColor rgb="FFCFE2F3"/>
        <bgColor rgb="FFD0E0E3"/>
      </patternFill>
    </fill>
    <fill>
      <patternFill patternType="solid">
        <fgColor rgb="FFEAD1DC"/>
        <bgColor rgb="FFF4CCCC"/>
      </patternFill>
    </fill>
    <fill>
      <patternFill patternType="solid">
        <fgColor rgb="FFD0E0E3"/>
        <bgColor rgb="FFCFE2F3"/>
      </patternFill>
    </fill>
    <fill>
      <patternFill patternType="solid">
        <fgColor rgb="FFFFE599"/>
        <bgColor rgb="FFFFEB9C"/>
      </patternFill>
    </fill>
    <fill>
      <patternFill patternType="solid">
        <fgColor rgb="FFFFCCCC"/>
        <bgColor rgb="FFFFC7CE"/>
      </patternFill>
    </fill>
    <fill>
      <patternFill patternType="solid">
        <fgColor rgb="FFC9DAF8"/>
        <bgColor rgb="FFCFE2F3"/>
      </patternFill>
    </fill>
    <fill>
      <patternFill patternType="solid">
        <fgColor rgb="FFB6D7A8"/>
        <bgColor rgb="FFBFBFBF"/>
      </patternFill>
    </fill>
    <fill>
      <patternFill patternType="solid">
        <fgColor rgb="00CFE2F3"/>
      </patternFill>
    </fill>
    <fill>
      <patternFill patternType="solid">
        <fgColor rgb="00C6EFCE"/>
      </patternFill>
    </fill>
    <fill>
      <patternFill patternType="solid">
        <fgColor rgb="00D0E0E3"/>
      </patternFill>
    </fill>
    <fill>
      <patternFill patternType="solid">
        <fgColor rgb="00FFEB9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 wrapText="1"/>
    </xf>
    <xf numFmtId="165" fontId="14" fillId="10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167" fontId="8" fillId="9" borderId="1" applyAlignment="1" pivotButton="0" quotePrefix="0" xfId="0">
      <alignment horizontal="center" vertical="center" wrapText="1"/>
    </xf>
    <xf numFmtId="168" fontId="8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 wrapText="1"/>
    </xf>
    <xf numFmtId="165" fontId="14" fillId="10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167" fontId="8" fillId="9" borderId="1" applyAlignment="1" pivotButton="0" quotePrefix="0" xfId="0">
      <alignment horizontal="center" vertical="center" wrapText="1"/>
    </xf>
    <xf numFmtId="168" fontId="8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left" vertical="center" wrapText="1"/>
    </xf>
    <xf numFmtId="0" fontId="26" fillId="25" borderId="2" applyAlignment="1" pivotButton="0" quotePrefix="0" xfId="0">
      <alignment horizontal="center" vertical="center" wrapText="1"/>
    </xf>
    <xf numFmtId="0" fontId="26" fillId="26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14" fillId="10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167" fontId="8" fillId="9" borderId="1" applyAlignment="1" pivotButton="0" quotePrefix="0" xfId="0">
      <alignment horizontal="center" vertical="center" wrapText="1"/>
    </xf>
    <xf numFmtId="168" fontId="8" fillId="9" borderId="1" applyAlignment="1" pivotButton="0" quotePrefix="0" xfId="0">
      <alignment horizontal="center" vertical="center" wrapText="1"/>
    </xf>
    <xf numFmtId="0" fontId="26" fillId="27" borderId="2" applyAlignment="1" pivotButton="0" quotePrefix="0" xfId="0">
      <alignment horizontal="center" vertical="center" wrapText="1"/>
    </xf>
    <xf numFmtId="0" fontId="26" fillId="28" borderId="2" applyAlignment="1" pivotButton="0" quotePrefix="0" xfId="0">
      <alignment horizontal="center" vertical="center" wrapText="1"/>
    </xf>
    <xf numFmtId="0" fontId="26" fillId="29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EAD1DC"/>
      <rgbColor rgb="FF993366"/>
      <rgbColor rgb="FFFFF2CC"/>
      <rgbColor rgb="FFE8F0FE"/>
      <rgbColor rgb="FF660066"/>
      <rgbColor rgb="FFF4CCCC"/>
      <rgbColor rgb="FF0066CC"/>
      <rgbColor rgb="FFC9DAF8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00CCFF"/>
      <rgbColor rgb="FFCFE2F3"/>
      <rgbColor rgb="FFC6EFCE"/>
      <rgbColor rgb="FFFFFF99"/>
      <rgbColor rgb="FFB6D7A8"/>
      <rgbColor rgb="FFFFC7CE"/>
      <rgbColor rgb="FFD9D2E9"/>
      <rgbColor rgb="FFFFCCCC"/>
      <rgbColor rgb="FF2E75B6"/>
      <rgbColor rgb="FF33CCCC"/>
      <rgbColor rgb="FFD9EAD3"/>
      <rgbColor rgb="FFFFE599"/>
      <rgbColor rgb="FFE7E6E6"/>
      <rgbColor rgb="FFFF6600"/>
      <rgbColor rgb="FF595959"/>
      <rgbColor rgb="FFD0E0E3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44" min="1" max="1"/>
    <col width="8" customWidth="1" style="44" min="2" max="2"/>
    <col width="18" customWidth="1" style="44" min="3" max="3"/>
    <col width="22" customWidth="1" style="44" min="4" max="5"/>
    <col width="10" customWidth="1" style="44" min="6" max="6"/>
    <col width="12" customWidth="1" style="44" min="7" max="8"/>
    <col width="50" customWidth="1" style="44" min="9" max="9"/>
    <col width="30" customWidth="1" style="44" min="10" max="10"/>
    <col width="18" customWidth="1" style="44" min="11" max="11"/>
    <col width="28" customWidth="1" style="44" min="12" max="12"/>
    <col width="10" customWidth="1" style="44" min="13" max="15"/>
    <col width="11" customWidth="1" style="44" min="16" max="16"/>
    <col width="10" customWidth="1" style="44" min="17" max="19"/>
    <col width="11" customWidth="1" style="44" min="20" max="20"/>
    <col width="8" customWidth="1" style="44" min="21" max="21"/>
    <col width="11" customWidth="1" style="44" min="22" max="23"/>
    <col width="13" customWidth="1" style="44" min="24" max="24"/>
    <col width="14" customWidth="1" style="44" min="25" max="25"/>
    <col width="10" customWidth="1" style="44" min="26" max="28"/>
    <col width="12" customWidth="1" style="44" min="29" max="29"/>
  </cols>
  <sheetData>
    <row r="1" ht="36" customHeight="1" s="45">
      <c r="A1" s="46" t="inlineStr">
        <is>
          <t>序号</t>
        </is>
      </c>
      <c r="B1" s="46" t="inlineStr">
        <is>
          <t>代码</t>
        </is>
      </c>
      <c r="C1" s="46" t="inlineStr">
        <is>
          <t>公司名称</t>
        </is>
      </c>
      <c r="D1" s="46" t="inlineStr">
        <is>
          <t>所属层级</t>
        </is>
      </c>
      <c r="E1" s="46" t="inlineStr">
        <is>
          <t>子赛道</t>
        </is>
      </c>
      <c r="F1" s="46" t="inlineStr">
        <is>
          <t>角色定位</t>
        </is>
      </c>
      <c r="G1" s="46" t="inlineStr">
        <is>
          <t>上涨潜力</t>
        </is>
      </c>
      <c r="H1" s="46" t="inlineStr">
        <is>
          <t>适合策略</t>
        </is>
      </c>
      <c r="I1" s="46" t="inlineStr">
        <is>
          <t>核心逻辑</t>
        </is>
      </c>
      <c r="J1" s="46" t="inlineStr">
        <is>
          <t>关键催化剂</t>
        </is>
      </c>
      <c r="K1" s="46" t="inlineStr">
        <is>
          <t>中美互证对照</t>
        </is>
      </c>
      <c r="L1" s="46" t="inlineStr">
        <is>
          <t>风险提示</t>
        </is>
      </c>
      <c r="M1" s="47" t="inlineStr">
        <is>
          <t>当前价 ($)</t>
        </is>
      </c>
      <c r="N1" s="48" t="inlineStr">
        <is>
          <t>52W 高 ($)</t>
        </is>
      </c>
      <c r="O1" s="48" t="inlineStr">
        <is>
          <t>52W 低 ($)</t>
        </is>
      </c>
      <c r="P1" s="47" t="inlineStr">
        <is>
          <t>距 52W 高 %</t>
        </is>
      </c>
      <c r="Q1" s="48" t="inlineStr">
        <is>
          <t>3M 涨幅 %</t>
        </is>
      </c>
      <c r="R1" s="48" t="inlineStr">
        <is>
          <t>6M 涨幅 %</t>
        </is>
      </c>
      <c r="S1" s="49" t="inlineStr">
        <is>
          <t>市值 ($B)</t>
        </is>
      </c>
      <c r="T1" s="50" t="inlineStr">
        <is>
          <t>Forward P/E</t>
        </is>
      </c>
      <c r="U1" s="50" t="inlineStr">
        <is>
          <t>PEG</t>
        </is>
      </c>
      <c r="V1" s="51" t="inlineStr">
        <is>
          <t>营收 YoY %</t>
        </is>
      </c>
      <c r="W1" s="52" t="inlineStr">
        <is>
          <t>EPS YoY %</t>
        </is>
      </c>
      <c r="X1" s="52" t="inlineStr">
        <is>
          <t>EPS 12W 上修 %</t>
        </is>
      </c>
      <c r="Y1" s="51" t="inlineStr">
        <is>
          <t>营收 Guide 上修 %</t>
        </is>
      </c>
      <c r="Z1" s="53" t="inlineStr">
        <is>
          <t>增长评分</t>
        </is>
      </c>
      <c r="AA1" s="53" t="inlineStr">
        <is>
          <t>动量评分</t>
        </is>
      </c>
      <c r="AB1" s="53" t="inlineStr">
        <is>
          <t>综合评分</t>
        </is>
      </c>
      <c r="AC1" s="53" t="inlineStr">
        <is>
          <t>数据更新日期</t>
        </is>
      </c>
    </row>
    <row r="2" ht="48" customHeight="1" s="45">
      <c r="A2" s="54" t="n">
        <v>1</v>
      </c>
      <c r="B2" s="54" t="inlineStr">
        <is>
          <t>NVDA</t>
        </is>
      </c>
      <c r="C2" s="55" t="inlineStr">
        <is>
          <t>NVIDIA</t>
        </is>
      </c>
      <c r="D2" s="56" t="inlineStr">
        <is>
          <t>L1·算力·GPU/CPU</t>
        </is>
      </c>
      <c r="E2" s="55" t="inlineStr">
        <is>
          <t>GPU+网络+CUDA</t>
        </is>
      </c>
      <c r="F2" s="57" t="inlineStr">
        <is>
          <t>龙头</t>
        </is>
      </c>
      <c r="G2" s="58" t="inlineStr">
        <is>
          <t>★★★★☆</t>
        </is>
      </c>
      <c r="H2" s="59" t="inlineStr">
        <is>
          <t>核心配置</t>
        </is>
      </c>
      <c r="I2" s="60" t="inlineStr">
        <is>
          <t>数据中心收入持续超预期；CUDA 生态护城河；Blackwell→Rubin 路线清晰</t>
        </is>
      </c>
      <c r="J2" s="55" t="inlineStr">
        <is>
          <t>Rubin Ultra 出货时间表 / 中国出货恢复</t>
        </is>
      </c>
      <c r="K2" s="60" t="inlineStr">
        <is>
          <t>海光信息·寒武纪</t>
        </is>
      </c>
      <c r="L2" s="60" t="inlineStr">
        <is>
          <t>估值高；出口管制；客户自研 ASIC 替代</t>
        </is>
      </c>
      <c r="M2" s="61" t="n"/>
      <c r="N2" s="61" t="n"/>
      <c r="O2" s="61" t="n"/>
      <c r="P2" s="62">
        <f>IF(N2="","",IFERROR((M2-N2)/N2,""))</f>
        <v/>
      </c>
      <c r="Q2" s="63" t="n"/>
      <c r="R2" s="63" t="n"/>
      <c r="S2" s="64" t="n"/>
      <c r="T2" s="65" t="n"/>
      <c r="U2" s="65" t="n"/>
      <c r="V2" s="63" t="n"/>
      <c r="W2" s="63" t="n"/>
      <c r="X2" s="63" t="n"/>
      <c r="Y2" s="63" t="n"/>
      <c r="Z2" s="62">
        <f>IF(COUNT(V2:Y2)=0,"",ROUND(AVERAGE(V2:Y2),1))</f>
        <v/>
      </c>
      <c r="AA2" s="62">
        <f>IF(COUNT(Q2:R2)=0,"",ROUND(AVERAGE(Q2:R2),1))</f>
        <v/>
      </c>
      <c r="AB2" s="62">
        <f>IF(AND(Z2="",AA2=""),"",ROUND(IFERROR(Z2,0)*0.6+IFERROR(AA2,0)*0.4,1))</f>
        <v/>
      </c>
      <c r="AC2" s="66" t="n"/>
    </row>
    <row r="3" ht="48" customHeight="1" s="45">
      <c r="A3" s="54" t="n">
        <v>2</v>
      </c>
      <c r="B3" s="54" t="inlineStr">
        <is>
          <t>AMD</t>
        </is>
      </c>
      <c r="C3" s="55" t="inlineStr">
        <is>
          <t>AMD</t>
        </is>
      </c>
      <c r="D3" s="56" t="inlineStr">
        <is>
          <t>L1·算力·GPU/CPU</t>
        </is>
      </c>
      <c r="E3" s="55" t="inlineStr">
        <is>
          <t>GPU+EPYC CPU</t>
        </is>
      </c>
      <c r="F3" s="57" t="inlineStr">
        <is>
          <t>龙头</t>
        </is>
      </c>
      <c r="G3" s="58" t="inlineStr">
        <is>
          <t>★★★★★</t>
        </is>
      </c>
      <c r="H3" s="59" t="inlineStr">
        <is>
          <t>核心配置</t>
        </is>
      </c>
      <c r="I3" s="55" t="inlineStr">
        <is>
          <t>MI300/325X→MI400 追赶；EPYC 在 hyperscaler 抢份额</t>
        </is>
      </c>
      <c r="J3" s="55" t="inlineStr">
        <is>
          <t>MI400 时间表；CY26 大单落地</t>
        </is>
      </c>
      <c r="K3" s="60" t="inlineStr">
        <is>
          <t>海光信息</t>
        </is>
      </c>
      <c r="L3" s="55" t="inlineStr">
        <is>
          <t>GPU 软件生态相对弱</t>
        </is>
      </c>
      <c r="M3" s="61" t="n"/>
      <c r="N3" s="61" t="n"/>
      <c r="O3" s="61" t="n"/>
      <c r="P3" s="62">
        <f>IF(N3="","",IFERROR((M3-N3)/N3,""))</f>
        <v/>
      </c>
      <c r="Q3" s="63" t="n"/>
      <c r="R3" s="63" t="n"/>
      <c r="S3" s="64" t="n"/>
      <c r="T3" s="65" t="n"/>
      <c r="U3" s="65" t="n"/>
      <c r="V3" s="63" t="n"/>
      <c r="W3" s="63" t="n"/>
      <c r="X3" s="63" t="n"/>
      <c r="Y3" s="63" t="n"/>
      <c r="Z3" s="62">
        <f>IF(COUNT(V3:Y3)=0,"",ROUND(AVERAGE(V3:Y3),1))</f>
        <v/>
      </c>
      <c r="AA3" s="62">
        <f>IF(COUNT(Q3:R3)=0,"",ROUND(AVERAGE(Q3:R3),1))</f>
        <v/>
      </c>
      <c r="AB3" s="62">
        <f>IF(AND(Z3="",AA3=""),"",ROUND(IFERROR(Z3,0)*0.6+IFERROR(AA3,0)*0.4,1))</f>
        <v/>
      </c>
      <c r="AC3" s="66" t="n"/>
    </row>
    <row r="4" ht="48" customHeight="1" s="45">
      <c r="A4" s="54" t="n">
        <v>3</v>
      </c>
      <c r="B4" s="54" t="inlineStr">
        <is>
          <t>INTC</t>
        </is>
      </c>
      <c r="C4" s="55" t="inlineStr">
        <is>
          <t>Intel</t>
        </is>
      </c>
      <c r="D4" s="56" t="inlineStr">
        <is>
          <t>L1·算力·GPU/CPU</t>
        </is>
      </c>
      <c r="E4" s="55" t="inlineStr">
        <is>
          <t>x86+IFS+Gaudi</t>
        </is>
      </c>
      <c r="F4" s="67" t="inlineStr">
        <is>
          <t>二线</t>
        </is>
      </c>
      <c r="G4" s="58" t="inlineStr">
        <is>
          <t>★★★☆☆</t>
        </is>
      </c>
      <c r="H4" s="59" t="inlineStr">
        <is>
          <t>题材交易</t>
        </is>
      </c>
      <c r="I4" s="60" t="inlineStr">
        <is>
          <t>代工 18A 良率改善+政府补贴+Gaudi3 性价比</t>
        </is>
      </c>
      <c r="J4" s="55" t="inlineStr">
        <is>
          <t>18A 良率/外部客户落地</t>
        </is>
      </c>
      <c r="K4" s="55" t="inlineStr">
        <is>
          <t>—</t>
        </is>
      </c>
      <c r="L4" s="60" t="inlineStr">
        <is>
          <t>转型不确定，亏损可能扩大</t>
        </is>
      </c>
      <c r="M4" s="61" t="n"/>
      <c r="N4" s="61" t="n"/>
      <c r="O4" s="61" t="n"/>
      <c r="P4" s="62">
        <f>IF(N4="","",IFERROR((M4-N4)/N4,""))</f>
        <v/>
      </c>
      <c r="Q4" s="63" t="n"/>
      <c r="R4" s="63" t="n"/>
      <c r="S4" s="64" t="n"/>
      <c r="T4" s="65" t="n"/>
      <c r="U4" s="65" t="n"/>
      <c r="V4" s="63" t="n"/>
      <c r="W4" s="63" t="n"/>
      <c r="X4" s="63" t="n"/>
      <c r="Y4" s="63" t="n"/>
      <c r="Z4" s="62">
        <f>IF(COUNT(V4:Y4)=0,"",ROUND(AVERAGE(V4:Y4),1))</f>
        <v/>
      </c>
      <c r="AA4" s="62">
        <f>IF(COUNT(Q4:R4)=0,"",ROUND(AVERAGE(Q4:R4),1))</f>
        <v/>
      </c>
      <c r="AB4" s="62">
        <f>IF(AND(Z4="",AA4=""),"",ROUND(IFERROR(Z4,0)*0.6+IFERROR(AA4,0)*0.4,1))</f>
        <v/>
      </c>
      <c r="AC4" s="66" t="n"/>
    </row>
    <row r="5" ht="48" customHeight="1" s="45">
      <c r="A5" s="54" t="n">
        <v>4</v>
      </c>
      <c r="B5" s="54" t="inlineStr">
        <is>
          <t>ARM</t>
        </is>
      </c>
      <c r="C5" s="55" t="inlineStr">
        <is>
          <t>Arm Holdings</t>
        </is>
      </c>
      <c r="D5" s="56" t="inlineStr">
        <is>
          <t>L1·算力·GPU/CPU</t>
        </is>
      </c>
      <c r="E5" s="55" t="inlineStr">
        <is>
          <t>ARM 架构授权</t>
        </is>
      </c>
      <c r="F5" s="57" t="inlineStr">
        <is>
          <t>龙头</t>
        </is>
      </c>
      <c r="G5" s="58" t="inlineStr">
        <is>
          <t>★★★☆☆</t>
        </is>
      </c>
      <c r="H5" s="59" t="inlineStr">
        <is>
          <t>卫星</t>
        </is>
      </c>
      <c r="I5" s="60" t="inlineStr">
        <is>
          <t>数据中心 ARM 渗透 (Graviton/Cobalt)；V9 抽成提升</t>
        </is>
      </c>
      <c r="J5" s="60" t="inlineStr">
        <is>
          <t>授权费率指引</t>
        </is>
      </c>
      <c r="K5" s="55" t="inlineStr">
        <is>
          <t>—</t>
        </is>
      </c>
      <c r="L5" s="60" t="inlineStr">
        <is>
          <t>估值高，授权费天花板</t>
        </is>
      </c>
      <c r="M5" s="61" t="n"/>
      <c r="N5" s="61" t="n"/>
      <c r="O5" s="61" t="n"/>
      <c r="P5" s="62">
        <f>IF(N5="","",IFERROR((M5-N5)/N5,""))</f>
        <v/>
      </c>
      <c r="Q5" s="63" t="n"/>
      <c r="R5" s="63" t="n"/>
      <c r="S5" s="64" t="n"/>
      <c r="T5" s="65" t="n"/>
      <c r="U5" s="65" t="n"/>
      <c r="V5" s="63" t="n"/>
      <c r="W5" s="63" t="n"/>
      <c r="X5" s="63" t="n"/>
      <c r="Y5" s="63" t="n"/>
      <c r="Z5" s="62">
        <f>IF(COUNT(V5:Y5)=0,"",ROUND(AVERAGE(V5:Y5),1))</f>
        <v/>
      </c>
      <c r="AA5" s="62">
        <f>IF(COUNT(Q5:R5)=0,"",ROUND(AVERAGE(Q5:R5),1))</f>
        <v/>
      </c>
      <c r="AB5" s="62">
        <f>IF(AND(Z5="",AA5=""),"",ROUND(IFERROR(Z5,0)*0.6+IFERROR(AA5,0)*0.4,1))</f>
        <v/>
      </c>
      <c r="AC5" s="66" t="n"/>
    </row>
    <row r="6" ht="48" customHeight="1" s="45">
      <c r="A6" s="54" t="n">
        <v>5</v>
      </c>
      <c r="B6" s="54" t="inlineStr">
        <is>
          <t>QCOM</t>
        </is>
      </c>
      <c r="C6" s="55" t="inlineStr">
        <is>
          <t>Qualcomm</t>
        </is>
      </c>
      <c r="D6" s="56" t="inlineStr">
        <is>
          <t>L1·算力·GPU/CPU</t>
        </is>
      </c>
      <c r="E6" s="60" t="inlineStr">
        <is>
          <t>边缘 AI / AI PC</t>
        </is>
      </c>
      <c r="F6" s="67" t="inlineStr">
        <is>
          <t>二线</t>
        </is>
      </c>
      <c r="G6" s="58" t="inlineStr">
        <is>
          <t>★★★☆☆</t>
        </is>
      </c>
      <c r="H6" s="59" t="inlineStr">
        <is>
          <t>卫星</t>
        </is>
      </c>
      <c r="I6" s="55" t="inlineStr">
        <is>
          <t>X Elite 笔电+AI 手机芯片+汽车业务多元</t>
        </is>
      </c>
      <c r="J6" s="55" t="inlineStr">
        <is>
          <t>AI PC 渗透率</t>
        </is>
      </c>
      <c r="K6" s="60" t="inlineStr">
        <is>
          <t>海思·展锐</t>
        </is>
      </c>
      <c r="L6" s="60" t="inlineStr">
        <is>
          <t>手机周期；与苹果合约</t>
        </is>
      </c>
      <c r="M6" s="61" t="n"/>
      <c r="N6" s="61" t="n"/>
      <c r="O6" s="61" t="n"/>
      <c r="P6" s="62">
        <f>IF(N6="","",IFERROR((M6-N6)/N6,""))</f>
        <v/>
      </c>
      <c r="Q6" s="63" t="n"/>
      <c r="R6" s="63" t="n"/>
      <c r="S6" s="64" t="n"/>
      <c r="T6" s="65" t="n"/>
      <c r="U6" s="65" t="n"/>
      <c r="V6" s="63" t="n"/>
      <c r="W6" s="63" t="n"/>
      <c r="X6" s="63" t="n"/>
      <c r="Y6" s="63" t="n"/>
      <c r="Z6" s="62">
        <f>IF(COUNT(V6:Y6)=0,"",ROUND(AVERAGE(V6:Y6),1))</f>
        <v/>
      </c>
      <c r="AA6" s="62">
        <f>IF(COUNT(Q6:R6)=0,"",ROUND(AVERAGE(Q6:R6),1))</f>
        <v/>
      </c>
      <c r="AB6" s="62">
        <f>IF(AND(Z6="",AA6=""),"",ROUND(IFERROR(Z6,0)*0.6+IFERROR(AA6,0)*0.4,1))</f>
        <v/>
      </c>
      <c r="AC6" s="66" t="n"/>
    </row>
    <row r="7" ht="48" customHeight="1" s="45">
      <c r="A7" s="54" t="n">
        <v>6</v>
      </c>
      <c r="B7" s="54" t="inlineStr">
        <is>
          <t>AVGO</t>
        </is>
      </c>
      <c r="C7" s="55" t="inlineStr">
        <is>
          <t>Broadcom</t>
        </is>
      </c>
      <c r="D7" s="68" t="inlineStr">
        <is>
          <t>L2·定制硅·ASIC/EDA</t>
        </is>
      </c>
      <c r="E7" s="55" t="inlineStr">
        <is>
          <t>ASIC+网络+VMware</t>
        </is>
      </c>
      <c r="F7" s="57" t="inlineStr">
        <is>
          <t>龙头</t>
        </is>
      </c>
      <c r="G7" s="58" t="inlineStr">
        <is>
          <t>★★★★★</t>
        </is>
      </c>
      <c r="H7" s="59" t="inlineStr">
        <is>
          <t>核心配置</t>
        </is>
      </c>
      <c r="I7" s="55" t="inlineStr">
        <is>
          <t>Google TPU+Meta MTIA 独家代工；VMware 协同；第3-4个超大客户在路上</t>
        </is>
      </c>
      <c r="J7" s="60" t="inlineStr">
        <is>
          <t>新增超大客户官宣；XPU 营收指引上修</t>
        </is>
      </c>
      <c r="K7" s="60" t="inlineStr">
        <is>
          <t>寒武纪</t>
        </is>
      </c>
      <c r="L7" s="60" t="inlineStr">
        <is>
          <t>客户极度集中</t>
        </is>
      </c>
      <c r="M7" s="61" t="n"/>
      <c r="N7" s="61" t="n"/>
      <c r="O7" s="61" t="n"/>
      <c r="P7" s="62">
        <f>IF(N7="","",IFERROR((M7-N7)/N7,""))</f>
        <v/>
      </c>
      <c r="Q7" s="63" t="n"/>
      <c r="R7" s="63" t="n"/>
      <c r="S7" s="64" t="n"/>
      <c r="T7" s="65" t="n"/>
      <c r="U7" s="65" t="n"/>
      <c r="V7" s="63" t="n"/>
      <c r="W7" s="63" t="n"/>
      <c r="X7" s="63" t="n"/>
      <c r="Y7" s="63" t="n"/>
      <c r="Z7" s="62">
        <f>IF(COUNT(V7:Y7)=0,"",ROUND(AVERAGE(V7:Y7),1))</f>
        <v/>
      </c>
      <c r="AA7" s="62">
        <f>IF(COUNT(Q7:R7)=0,"",ROUND(AVERAGE(Q7:R7),1))</f>
        <v/>
      </c>
      <c r="AB7" s="62">
        <f>IF(AND(Z7="",AA7=""),"",ROUND(IFERROR(Z7,0)*0.6+IFERROR(AA7,0)*0.4,1))</f>
        <v/>
      </c>
      <c r="AC7" s="66" t="n"/>
    </row>
    <row r="8" ht="48" customHeight="1" s="45">
      <c r="A8" s="54" t="n">
        <v>7</v>
      </c>
      <c r="B8" s="54" t="inlineStr">
        <is>
          <t>MRVL</t>
        </is>
      </c>
      <c r="C8" s="55" t="inlineStr">
        <is>
          <t>Marvell</t>
        </is>
      </c>
      <c r="D8" s="68" t="inlineStr">
        <is>
          <t>L2·定制硅·ASIC/EDA</t>
        </is>
      </c>
      <c r="E8" s="55" t="inlineStr">
        <is>
          <t>ASIC+光 DSP+网络</t>
        </is>
      </c>
      <c r="F8" s="57" t="inlineStr">
        <is>
          <t>龙头</t>
        </is>
      </c>
      <c r="G8" s="58" t="inlineStr">
        <is>
          <t>★★★★★</t>
        </is>
      </c>
      <c r="H8" s="59" t="inlineStr">
        <is>
          <t>核心配置</t>
        </is>
      </c>
      <c r="I8" s="55" t="inlineStr">
        <is>
          <t>AWS Trainium+微软 Maia ASIC；光 DSP 寡头</t>
        </is>
      </c>
      <c r="J8" s="55" t="inlineStr">
        <is>
          <t>AI 收入翻倍指引兑现；新 ASIC 项目</t>
        </is>
      </c>
      <c r="K8" s="55" t="inlineStr">
        <is>
          <t>—</t>
        </is>
      </c>
      <c r="L8" s="60" t="inlineStr">
        <is>
          <t>客户集中；周期波动</t>
        </is>
      </c>
      <c r="M8" s="61" t="n"/>
      <c r="N8" s="61" t="n"/>
      <c r="O8" s="61" t="n"/>
      <c r="P8" s="62">
        <f>IF(N8="","",IFERROR((M8-N8)/N8,""))</f>
        <v/>
      </c>
      <c r="Q8" s="63" t="n"/>
      <c r="R8" s="63" t="n"/>
      <c r="S8" s="64" t="n"/>
      <c r="T8" s="65" t="n"/>
      <c r="U8" s="65" t="n"/>
      <c r="V8" s="63" t="n"/>
      <c r="W8" s="63" t="n"/>
      <c r="X8" s="63" t="n"/>
      <c r="Y8" s="63" t="n"/>
      <c r="Z8" s="62">
        <f>IF(COUNT(V8:Y8)=0,"",ROUND(AVERAGE(V8:Y8),1))</f>
        <v/>
      </c>
      <c r="AA8" s="62">
        <f>IF(COUNT(Q8:R8)=0,"",ROUND(AVERAGE(Q8:R8),1))</f>
        <v/>
      </c>
      <c r="AB8" s="62">
        <f>IF(AND(Z8="",AA8=""),"",ROUND(IFERROR(Z8,0)*0.6+IFERROR(AA8,0)*0.4,1))</f>
        <v/>
      </c>
      <c r="AC8" s="66" t="n"/>
    </row>
    <row r="9" ht="48" customHeight="1" s="45">
      <c r="A9" s="54" t="n">
        <v>8</v>
      </c>
      <c r="B9" s="54" t="inlineStr">
        <is>
          <t>SNPS</t>
        </is>
      </c>
      <c r="C9" s="55" t="inlineStr">
        <is>
          <t>Synopsys</t>
        </is>
      </c>
      <c r="D9" s="68" t="inlineStr">
        <is>
          <t>L2·定制硅·ASIC/EDA</t>
        </is>
      </c>
      <c r="E9" s="55" t="inlineStr">
        <is>
          <t>EDA+IP</t>
        </is>
      </c>
      <c r="F9" s="57" t="inlineStr">
        <is>
          <t>龙头</t>
        </is>
      </c>
      <c r="G9" s="58" t="inlineStr">
        <is>
          <t>★★★☆☆</t>
        </is>
      </c>
      <c r="H9" s="59" t="inlineStr">
        <is>
          <t>核心配置</t>
        </is>
      </c>
      <c r="I9" s="55" t="inlineStr">
        <is>
          <t>EDA 双寡头+Ansys 收购协同+HBM/Chiplet IP 高粘性</t>
        </is>
      </c>
      <c r="J9" s="55" t="inlineStr">
        <is>
          <t>Ansys 整合；中国订单</t>
        </is>
      </c>
      <c r="K9" s="60" t="inlineStr">
        <is>
          <t>华大九天·概伦</t>
        </is>
      </c>
      <c r="L9" s="60" t="inlineStr">
        <is>
          <t>估值高</t>
        </is>
      </c>
      <c r="M9" s="61" t="n"/>
      <c r="N9" s="61" t="n"/>
      <c r="O9" s="61" t="n"/>
      <c r="P9" s="62">
        <f>IF(N9="","",IFERROR((M9-N9)/N9,""))</f>
        <v/>
      </c>
      <c r="Q9" s="63" t="n"/>
      <c r="R9" s="63" t="n"/>
      <c r="S9" s="64" t="n"/>
      <c r="T9" s="65" t="n"/>
      <c r="U9" s="65" t="n"/>
      <c r="V9" s="63" t="n"/>
      <c r="W9" s="63" t="n"/>
      <c r="X9" s="63" t="n"/>
      <c r="Y9" s="63" t="n"/>
      <c r="Z9" s="62">
        <f>IF(COUNT(V9:Y9)=0,"",ROUND(AVERAGE(V9:Y9),1))</f>
        <v/>
      </c>
      <c r="AA9" s="62">
        <f>IF(COUNT(Q9:R9)=0,"",ROUND(AVERAGE(Q9:R9),1))</f>
        <v/>
      </c>
      <c r="AB9" s="62">
        <f>IF(AND(Z9="",AA9=""),"",ROUND(IFERROR(Z9,0)*0.6+IFERROR(AA9,0)*0.4,1))</f>
        <v/>
      </c>
      <c r="AC9" s="66" t="n"/>
    </row>
    <row r="10" ht="48" customHeight="1" s="45">
      <c r="A10" s="54" t="n">
        <v>9</v>
      </c>
      <c r="B10" s="54" t="inlineStr">
        <is>
          <t>CDNS</t>
        </is>
      </c>
      <c r="C10" s="55" t="inlineStr">
        <is>
          <t>Cadence</t>
        </is>
      </c>
      <c r="D10" s="68" t="inlineStr">
        <is>
          <t>L2·定制硅·ASIC/EDA</t>
        </is>
      </c>
      <c r="E10" s="55" t="inlineStr">
        <is>
          <t>EDA+IP+仿真</t>
        </is>
      </c>
      <c r="F10" s="57" t="inlineStr">
        <is>
          <t>龙头</t>
        </is>
      </c>
      <c r="G10" s="58" t="inlineStr">
        <is>
          <t>★★★☆☆</t>
        </is>
      </c>
      <c r="H10" s="59" t="inlineStr">
        <is>
          <t>核心配置</t>
        </is>
      </c>
      <c r="I10" s="55" t="inlineStr">
        <is>
          <t>EDA 双寡头之一；AI 设计需求井喷+SDA</t>
        </is>
      </c>
      <c r="J10" s="55" t="inlineStr">
        <is>
          <t>RPO 指引</t>
        </is>
      </c>
      <c r="K10" s="60" t="inlineStr">
        <is>
          <t>华大九天</t>
        </is>
      </c>
      <c r="L10" s="60" t="inlineStr">
        <is>
          <t>估值高</t>
        </is>
      </c>
      <c r="M10" s="61" t="n"/>
      <c r="N10" s="61" t="n"/>
      <c r="O10" s="61" t="n"/>
      <c r="P10" s="62">
        <f>IF(N10="","",IFERROR((M10-N10)/N10,""))</f>
        <v/>
      </c>
      <c r="Q10" s="63" t="n"/>
      <c r="R10" s="63" t="n"/>
      <c r="S10" s="64" t="n"/>
      <c r="T10" s="65" t="n"/>
      <c r="U10" s="65" t="n"/>
      <c r="V10" s="63" t="n"/>
      <c r="W10" s="63" t="n"/>
      <c r="X10" s="63" t="n"/>
      <c r="Y10" s="63" t="n"/>
      <c r="Z10" s="62">
        <f>IF(COUNT(V10:Y10)=0,"",ROUND(AVERAGE(V10:Y10),1))</f>
        <v/>
      </c>
      <c r="AA10" s="62">
        <f>IF(COUNT(Q10:R10)=0,"",ROUND(AVERAGE(Q10:R10),1))</f>
        <v/>
      </c>
      <c r="AB10" s="62">
        <f>IF(AND(Z10="",AA10=""),"",ROUND(IFERROR(Z10,0)*0.6+IFERROR(AA10,0)*0.4,1))</f>
        <v/>
      </c>
      <c r="AC10" s="66" t="n"/>
    </row>
    <row r="11" ht="48" customHeight="1" s="45">
      <c r="A11" s="54" t="n">
        <v>10</v>
      </c>
      <c r="B11" s="54" t="inlineStr">
        <is>
          <t>MU</t>
        </is>
      </c>
      <c r="C11" s="55" t="inlineStr">
        <is>
          <t>Micron</t>
        </is>
      </c>
      <c r="D11" s="69" t="inlineStr">
        <is>
          <t>L3·内存与存储</t>
        </is>
      </c>
      <c r="E11" s="55" t="inlineStr">
        <is>
          <t>HBM+DDR5+NAND</t>
        </is>
      </c>
      <c r="F11" s="57" t="inlineStr">
        <is>
          <t>龙头</t>
        </is>
      </c>
      <c r="G11" s="58" t="inlineStr">
        <is>
          <t>★★★★★</t>
        </is>
      </c>
      <c r="H11" s="59" t="inlineStr">
        <is>
          <t>核心配置</t>
        </is>
      </c>
      <c r="I11" s="55" t="inlineStr">
        <is>
          <t>HBM3E 量产+DDR5 涨价；HBM4 路线推进</t>
        </is>
      </c>
      <c r="J11" s="55" t="inlineStr">
        <is>
          <t>HBM4 路线/份额；DRAM 涨价幅度</t>
        </is>
      </c>
      <c r="K11" s="60" t="inlineStr">
        <is>
          <t>长鑫·兆易</t>
        </is>
      </c>
      <c r="L11" s="60" t="inlineStr">
        <is>
          <t>周期下行风险</t>
        </is>
      </c>
      <c r="M11" s="61" t="n"/>
      <c r="N11" s="61" t="n"/>
      <c r="O11" s="61" t="n"/>
      <c r="P11" s="62">
        <f>IF(N11="","",IFERROR((M11-N11)/N11,""))</f>
        <v/>
      </c>
      <c r="Q11" s="63" t="n"/>
      <c r="R11" s="63" t="n"/>
      <c r="S11" s="64" t="n"/>
      <c r="T11" s="65" t="n"/>
      <c r="U11" s="65" t="n"/>
      <c r="V11" s="63" t="n"/>
      <c r="W11" s="63" t="n"/>
      <c r="X11" s="63" t="n"/>
      <c r="Y11" s="63" t="n"/>
      <c r="Z11" s="62">
        <f>IF(COUNT(V11:Y11)=0,"",ROUND(AVERAGE(V11:Y11),1))</f>
        <v/>
      </c>
      <c r="AA11" s="62">
        <f>IF(COUNT(Q11:R11)=0,"",ROUND(AVERAGE(Q11:R11),1))</f>
        <v/>
      </c>
      <c r="AB11" s="62">
        <f>IF(AND(Z11="",AA11=""),"",ROUND(IFERROR(Z11,0)*0.6+IFERROR(AA11,0)*0.4,1))</f>
        <v/>
      </c>
      <c r="AC11" s="66" t="n"/>
    </row>
    <row r="12" ht="48" customHeight="1" s="45">
      <c r="A12" s="54" t="n">
        <v>11</v>
      </c>
      <c r="B12" s="54" t="inlineStr">
        <is>
          <t>SNDK</t>
        </is>
      </c>
      <c r="C12" s="55" t="inlineStr">
        <is>
          <t>SanDisk</t>
        </is>
      </c>
      <c r="D12" s="69" t="inlineStr">
        <is>
          <t>L3·内存与存储</t>
        </is>
      </c>
      <c r="E12" s="55" t="inlineStr">
        <is>
          <t>NAND</t>
        </is>
      </c>
      <c r="F12" s="57" t="inlineStr">
        <is>
          <t>龙头</t>
        </is>
      </c>
      <c r="G12" s="58" t="inlineStr">
        <is>
          <t>★★★★☆</t>
        </is>
      </c>
      <c r="H12" s="59" t="inlineStr">
        <is>
          <t>卫星</t>
        </is>
      </c>
      <c r="I12" s="55" t="inlineStr">
        <is>
          <t>WDC 分拆后专注企业级 SSD；NAND 供需收紧</t>
        </is>
      </c>
      <c r="J12" s="55" t="inlineStr">
        <is>
          <t>QLC 出货+企业 SSD 单价</t>
        </is>
      </c>
      <c r="K12" s="60" t="inlineStr">
        <is>
          <t>长江存储</t>
        </is>
      </c>
      <c r="L12" s="55" t="inlineStr">
        <is>
          <t>NAND 周期</t>
        </is>
      </c>
      <c r="M12" s="61" t="n"/>
      <c r="N12" s="61" t="n"/>
      <c r="O12" s="61" t="n"/>
      <c r="P12" s="62">
        <f>IF(N12="","",IFERROR((M12-N12)/N12,""))</f>
        <v/>
      </c>
      <c r="Q12" s="63" t="n"/>
      <c r="R12" s="63" t="n"/>
      <c r="S12" s="64" t="n"/>
      <c r="T12" s="65" t="n"/>
      <c r="U12" s="65" t="n"/>
      <c r="V12" s="63" t="n"/>
      <c r="W12" s="63" t="n"/>
      <c r="X12" s="63" t="n"/>
      <c r="Y12" s="63" t="n"/>
      <c r="Z12" s="62">
        <f>IF(COUNT(V12:Y12)=0,"",ROUND(AVERAGE(V12:Y12),1))</f>
        <v/>
      </c>
      <c r="AA12" s="62">
        <f>IF(COUNT(Q12:R12)=0,"",ROUND(AVERAGE(Q12:R12),1))</f>
        <v/>
      </c>
      <c r="AB12" s="62">
        <f>IF(AND(Z12="",AA12=""),"",ROUND(IFERROR(Z12,0)*0.6+IFERROR(AA12,0)*0.4,1))</f>
        <v/>
      </c>
      <c r="AC12" s="66" t="n"/>
    </row>
    <row r="13" ht="48" customHeight="1" s="45">
      <c r="A13" s="54" t="n">
        <v>12</v>
      </c>
      <c r="B13" s="54" t="inlineStr">
        <is>
          <t>WDC</t>
        </is>
      </c>
      <c r="C13" s="55" t="inlineStr">
        <is>
          <t>Western Digital</t>
        </is>
      </c>
      <c r="D13" s="69" t="inlineStr">
        <is>
          <t>L3·内存与存储</t>
        </is>
      </c>
      <c r="E13" s="55" t="inlineStr">
        <is>
          <t>HDD+企业存储</t>
        </is>
      </c>
      <c r="F13" s="57" t="inlineStr">
        <is>
          <t>龙头</t>
        </is>
      </c>
      <c r="G13" s="58" t="inlineStr">
        <is>
          <t>★★★★☆</t>
        </is>
      </c>
      <c r="H13" s="59" t="inlineStr">
        <is>
          <t>卫星</t>
        </is>
      </c>
      <c r="I13" s="55" t="inlineStr">
        <is>
          <t>HAMR 30TB+ 量产；AI 数据冷存储需求增长</t>
        </is>
      </c>
      <c r="J13" s="55" t="inlineStr">
        <is>
          <t>HAMR 出货爬坡</t>
        </is>
      </c>
      <c r="K13" s="55" t="inlineStr">
        <is>
          <t>—</t>
        </is>
      </c>
      <c r="L13" s="55" t="inlineStr">
        <is>
          <t>HDD 长期下滑预期</t>
        </is>
      </c>
      <c r="M13" s="61" t="n"/>
      <c r="N13" s="61" t="n"/>
      <c r="O13" s="61" t="n"/>
      <c r="P13" s="62">
        <f>IF(N13="","",IFERROR((M13-N13)/N13,""))</f>
        <v/>
      </c>
      <c r="Q13" s="63" t="n"/>
      <c r="R13" s="63" t="n"/>
      <c r="S13" s="64" t="n"/>
      <c r="T13" s="65" t="n"/>
      <c r="U13" s="65" t="n"/>
      <c r="V13" s="63" t="n"/>
      <c r="W13" s="63" t="n"/>
      <c r="X13" s="63" t="n"/>
      <c r="Y13" s="63" t="n"/>
      <c r="Z13" s="62">
        <f>IF(COUNT(V13:Y13)=0,"",ROUND(AVERAGE(V13:Y13),1))</f>
        <v/>
      </c>
      <c r="AA13" s="62">
        <f>IF(COUNT(Q13:R13)=0,"",ROUND(AVERAGE(Q13:R13),1))</f>
        <v/>
      </c>
      <c r="AB13" s="62">
        <f>IF(AND(Z13="",AA13=""),"",ROUND(IFERROR(Z13,0)*0.6+IFERROR(AA13,0)*0.4,1))</f>
        <v/>
      </c>
      <c r="AC13" s="66" t="n"/>
    </row>
    <row r="14" ht="48" customHeight="1" s="45">
      <c r="A14" s="54" t="n">
        <v>13</v>
      </c>
      <c r="B14" s="54" t="inlineStr">
        <is>
          <t>STX</t>
        </is>
      </c>
      <c r="C14" s="55" t="inlineStr">
        <is>
          <t>Seagate</t>
        </is>
      </c>
      <c r="D14" s="69" t="inlineStr">
        <is>
          <t>L3·内存与存储</t>
        </is>
      </c>
      <c r="E14" s="55" t="inlineStr">
        <is>
          <t>HDD</t>
        </is>
      </c>
      <c r="F14" s="57" t="inlineStr">
        <is>
          <t>龙头</t>
        </is>
      </c>
      <c r="G14" s="58" t="inlineStr">
        <is>
          <t>★★★★☆</t>
        </is>
      </c>
      <c r="H14" s="59" t="inlineStr">
        <is>
          <t>卫星</t>
        </is>
      </c>
      <c r="I14" s="55" t="inlineStr">
        <is>
          <t>30TB+ HAMR 量产；hyperscaler 长协涨价</t>
        </is>
      </c>
      <c r="J14" s="55" t="inlineStr">
        <is>
          <t>HAMR 出货爬坡；ASP</t>
        </is>
      </c>
      <c r="K14" s="55" t="inlineStr">
        <is>
          <t>—</t>
        </is>
      </c>
      <c r="L14" s="55" t="inlineStr">
        <is>
          <t>HDD 结构性下滑</t>
        </is>
      </c>
      <c r="M14" s="61" t="n"/>
      <c r="N14" s="61" t="n"/>
      <c r="O14" s="61" t="n"/>
      <c r="P14" s="62">
        <f>IF(N14="","",IFERROR((M14-N14)/N14,""))</f>
        <v/>
      </c>
      <c r="Q14" s="63" t="n"/>
      <c r="R14" s="63" t="n"/>
      <c r="S14" s="64" t="n"/>
      <c r="T14" s="65" t="n"/>
      <c r="U14" s="65" t="n"/>
      <c r="V14" s="63" t="n"/>
      <c r="W14" s="63" t="n"/>
      <c r="X14" s="63" t="n"/>
      <c r="Y14" s="63" t="n"/>
      <c r="Z14" s="62">
        <f>IF(COUNT(V14:Y14)=0,"",ROUND(AVERAGE(V14:Y14),1))</f>
        <v/>
      </c>
      <c r="AA14" s="62">
        <f>IF(COUNT(Q14:R14)=0,"",ROUND(AVERAGE(Q14:R14),1))</f>
        <v/>
      </c>
      <c r="AB14" s="62">
        <f>IF(AND(Z14="",AA14=""),"",ROUND(IFERROR(Z14,0)*0.6+IFERROR(AA14,0)*0.4,1))</f>
        <v/>
      </c>
      <c r="AC14" s="66" t="n"/>
    </row>
    <row r="15" ht="48" customHeight="1" s="45">
      <c r="A15" s="54" t="n">
        <v>14</v>
      </c>
      <c r="B15" s="54" t="inlineStr">
        <is>
          <t>RMBS</t>
        </is>
      </c>
      <c r="C15" s="55" t="inlineStr">
        <is>
          <t>Rambus</t>
        </is>
      </c>
      <c r="D15" s="69" t="inlineStr">
        <is>
          <t>L3·内存与存储</t>
        </is>
      </c>
      <c r="E15" s="60" t="inlineStr">
        <is>
          <t>内存接口 IP</t>
        </is>
      </c>
      <c r="F15" s="67" t="inlineStr">
        <is>
          <t>二线</t>
        </is>
      </c>
      <c r="G15" s="58" t="inlineStr">
        <is>
          <t>★★★★☆</t>
        </is>
      </c>
      <c r="H15" s="59" t="inlineStr">
        <is>
          <t>卫星</t>
        </is>
      </c>
      <c r="I15" s="55" t="inlineStr">
        <is>
          <t>DDR5 RCD/MRDIMM 接口收入爆发；CXL IP 储备</t>
        </is>
      </c>
      <c r="J15" s="55" t="inlineStr">
        <is>
          <t>DDR5 RCD 营收占比</t>
        </is>
      </c>
      <c r="K15" s="60" t="inlineStr">
        <is>
          <t>澜起科技</t>
        </is>
      </c>
      <c r="L15" s="60" t="inlineStr">
        <is>
          <t>体量小，IP 收入波动</t>
        </is>
      </c>
      <c r="M15" s="61" t="n"/>
      <c r="N15" s="61" t="n"/>
      <c r="O15" s="61" t="n"/>
      <c r="P15" s="62">
        <f>IF(N15="","",IFERROR((M15-N15)/N15,""))</f>
        <v/>
      </c>
      <c r="Q15" s="63" t="n"/>
      <c r="R15" s="63" t="n"/>
      <c r="S15" s="64" t="n"/>
      <c r="T15" s="65" t="n"/>
      <c r="U15" s="65" t="n"/>
      <c r="V15" s="63" t="n"/>
      <c r="W15" s="63" t="n"/>
      <c r="X15" s="63" t="n"/>
      <c r="Y15" s="63" t="n"/>
      <c r="Z15" s="62">
        <f>IF(COUNT(V15:Y15)=0,"",ROUND(AVERAGE(V15:Y15),1))</f>
        <v/>
      </c>
      <c r="AA15" s="62">
        <f>IF(COUNT(Q15:R15)=0,"",ROUND(AVERAGE(Q15:R15),1))</f>
        <v/>
      </c>
      <c r="AB15" s="62">
        <f>IF(AND(Z15="",AA15=""),"",ROUND(IFERROR(Z15,0)*0.6+IFERROR(AA15,0)*0.4,1))</f>
        <v/>
      </c>
      <c r="AC15" s="66" t="n"/>
    </row>
    <row r="16" ht="48" customHeight="1" s="45">
      <c r="A16" s="54" t="n">
        <v>15</v>
      </c>
      <c r="B16" s="54" t="inlineStr">
        <is>
          <t>LSCC</t>
        </is>
      </c>
      <c r="C16" s="55" t="inlineStr">
        <is>
          <t>Lattice Semi</t>
        </is>
      </c>
      <c r="D16" s="69" t="inlineStr">
        <is>
          <t>L3·内存与存储</t>
        </is>
      </c>
      <c r="E16" s="55" t="inlineStr">
        <is>
          <t>FPGA/CPLD 辅助</t>
        </is>
      </c>
      <c r="F16" s="67" t="inlineStr">
        <is>
          <t>二线</t>
        </is>
      </c>
      <c r="G16" s="58" t="inlineStr">
        <is>
          <t>★★☆☆☆</t>
        </is>
      </c>
      <c r="H16" s="59" t="inlineStr">
        <is>
          <t>卫星</t>
        </is>
      </c>
      <c r="I16" s="60" t="inlineStr">
        <is>
          <t>服务器板内辅助控制+边缘 AI</t>
        </is>
      </c>
      <c r="J16" s="60" t="inlineStr">
        <is>
          <t>复苏节奏</t>
        </is>
      </c>
      <c r="K16" s="55" t="inlineStr">
        <is>
          <t>—</t>
        </is>
      </c>
      <c r="L16" s="60" t="inlineStr">
        <is>
          <t>通信/工业拖累</t>
        </is>
      </c>
      <c r="M16" s="61" t="n"/>
      <c r="N16" s="61" t="n"/>
      <c r="O16" s="61" t="n"/>
      <c r="P16" s="62">
        <f>IF(N16="","",IFERROR((M16-N16)/N16,""))</f>
        <v/>
      </c>
      <c r="Q16" s="63" t="n"/>
      <c r="R16" s="63" t="n"/>
      <c r="S16" s="64" t="n"/>
      <c r="T16" s="65" t="n"/>
      <c r="U16" s="65" t="n"/>
      <c r="V16" s="63" t="n"/>
      <c r="W16" s="63" t="n"/>
      <c r="X16" s="63" t="n"/>
      <c r="Y16" s="63" t="n"/>
      <c r="Z16" s="62">
        <f>IF(COUNT(V16:Y16)=0,"",ROUND(AVERAGE(V16:Y16),1))</f>
        <v/>
      </c>
      <c r="AA16" s="62">
        <f>IF(COUNT(Q16:R16)=0,"",ROUND(AVERAGE(Q16:R16),1))</f>
        <v/>
      </c>
      <c r="AB16" s="62">
        <f>IF(AND(Z16="",AA16=""),"",ROUND(IFERROR(Z16,0)*0.6+IFERROR(AA16,0)*0.4,1))</f>
        <v/>
      </c>
      <c r="AC16" s="66" t="n"/>
    </row>
    <row r="17" ht="48" customHeight="1" s="45">
      <c r="A17" s="54" t="n">
        <v>16</v>
      </c>
      <c r="B17" s="54" t="inlineStr">
        <is>
          <t>ALAB</t>
        </is>
      </c>
      <c r="C17" s="55" t="inlineStr">
        <is>
          <t>Astera Labs</t>
        </is>
      </c>
      <c r="D17" s="70" t="inlineStr">
        <is>
          <t>L4·机架内互联</t>
        </is>
      </c>
      <c r="E17" s="55" t="inlineStr">
        <is>
          <t>PCIe/CXL Retimer</t>
        </is>
      </c>
      <c r="F17" s="57" t="inlineStr">
        <is>
          <t>龙头</t>
        </is>
      </c>
      <c r="G17" s="58" t="inlineStr">
        <is>
          <t>★★★★★</t>
        </is>
      </c>
      <c r="H17" s="59" t="inlineStr">
        <is>
          <t>核心配置</t>
        </is>
      </c>
      <c r="I17" s="55" t="inlineStr">
        <is>
          <t>PCIe Gen5/Gen6 retimer 龙头；GPU 机柜密度提升直接受益</t>
        </is>
      </c>
      <c r="J17" s="55" t="inlineStr">
        <is>
          <t>Gen6 量产；多客户拓展</t>
        </is>
      </c>
      <c r="K17" s="55" t="inlineStr">
        <is>
          <t>—</t>
        </is>
      </c>
      <c r="L17" s="60" t="inlineStr">
        <is>
          <t>估值极高；客户集中 NVDA</t>
        </is>
      </c>
      <c r="M17" s="61" t="n"/>
      <c r="N17" s="61" t="n"/>
      <c r="O17" s="61" t="n"/>
      <c r="P17" s="62">
        <f>IF(N17="","",IFERROR((M17-N17)/N17,""))</f>
        <v/>
      </c>
      <c r="Q17" s="63" t="n"/>
      <c r="R17" s="63" t="n"/>
      <c r="S17" s="64" t="n"/>
      <c r="T17" s="65" t="n"/>
      <c r="U17" s="65" t="n"/>
      <c r="V17" s="63" t="n"/>
      <c r="W17" s="63" t="n"/>
      <c r="X17" s="63" t="n"/>
      <c r="Y17" s="63" t="n"/>
      <c r="Z17" s="62">
        <f>IF(COUNT(V17:Y17)=0,"",ROUND(AVERAGE(V17:Y17),1))</f>
        <v/>
      </c>
      <c r="AA17" s="62">
        <f>IF(COUNT(Q17:R17)=0,"",ROUND(AVERAGE(Q17:R17),1))</f>
        <v/>
      </c>
      <c r="AB17" s="62">
        <f>IF(AND(Z17="",AA17=""),"",ROUND(IFERROR(Z17,0)*0.6+IFERROR(AA17,0)*0.4,1))</f>
        <v/>
      </c>
      <c r="AC17" s="66" t="n"/>
    </row>
    <row r="18" ht="48" customHeight="1" s="45">
      <c r="A18" s="54" t="n">
        <v>17</v>
      </c>
      <c r="B18" s="54" t="inlineStr">
        <is>
          <t>CRDO</t>
        </is>
      </c>
      <c r="C18" s="55" t="inlineStr">
        <is>
          <t>Credo Tech</t>
        </is>
      </c>
      <c r="D18" s="70" t="inlineStr">
        <is>
          <t>L4·机架内互联</t>
        </is>
      </c>
      <c r="E18" s="55" t="inlineStr">
        <is>
          <t>AEC 有源线缆+SerDes</t>
        </is>
      </c>
      <c r="F18" s="57" t="inlineStr">
        <is>
          <t>龙头</t>
        </is>
      </c>
      <c r="G18" s="58" t="inlineStr">
        <is>
          <t>★★★★★</t>
        </is>
      </c>
      <c r="H18" s="59" t="inlineStr">
        <is>
          <t>核心配置</t>
        </is>
      </c>
      <c r="I18" s="55" t="inlineStr">
        <is>
          <t>AEC 有源铜缆替代光模块短距；800G/1.6T SerDes IP</t>
        </is>
      </c>
      <c r="J18" s="55" t="inlineStr">
        <is>
          <t>AEC 大客户(Microsoft)出货</t>
        </is>
      </c>
      <c r="K18" s="55" t="inlineStr">
        <is>
          <t>—</t>
        </is>
      </c>
      <c r="L18" s="60" t="inlineStr">
        <is>
          <t>客户集中</t>
        </is>
      </c>
      <c r="M18" s="61" t="n"/>
      <c r="N18" s="61" t="n"/>
      <c r="O18" s="61" t="n"/>
      <c r="P18" s="62">
        <f>IF(N18="","",IFERROR((M18-N18)/N18,""))</f>
        <v/>
      </c>
      <c r="Q18" s="63" t="n"/>
      <c r="R18" s="63" t="n"/>
      <c r="S18" s="64" t="n"/>
      <c r="T18" s="65" t="n"/>
      <c r="U18" s="65" t="n"/>
      <c r="V18" s="63" t="n"/>
      <c r="W18" s="63" t="n"/>
      <c r="X18" s="63" t="n"/>
      <c r="Y18" s="63" t="n"/>
      <c r="Z18" s="62">
        <f>IF(COUNT(V18:Y18)=0,"",ROUND(AVERAGE(V18:Y18),1))</f>
        <v/>
      </c>
      <c r="AA18" s="62">
        <f>IF(COUNT(Q18:R18)=0,"",ROUND(AVERAGE(Q18:R18),1))</f>
        <v/>
      </c>
      <c r="AB18" s="62">
        <f>IF(AND(Z18="",AA18=""),"",ROUND(IFERROR(Z18,0)*0.6+IFERROR(AA18,0)*0.4,1))</f>
        <v/>
      </c>
      <c r="AC18" s="66" t="n"/>
    </row>
    <row r="19" ht="48" customHeight="1" s="45">
      <c r="A19" s="54" t="n">
        <v>18</v>
      </c>
      <c r="B19" s="54" t="inlineStr">
        <is>
          <t>SMTC</t>
        </is>
      </c>
      <c r="C19" s="55" t="inlineStr">
        <is>
          <t>Semtech</t>
        </is>
      </c>
      <c r="D19" s="70" t="inlineStr">
        <is>
          <t>L4·机架内互联</t>
        </is>
      </c>
      <c r="E19" s="55" t="inlineStr">
        <is>
          <t>AEC PHY</t>
        </is>
      </c>
      <c r="F19" s="67" t="inlineStr">
        <is>
          <t>二线</t>
        </is>
      </c>
      <c r="G19" s="58" t="inlineStr">
        <is>
          <t>★★★☆☆</t>
        </is>
      </c>
      <c r="H19" s="59" t="inlineStr">
        <is>
          <t>题材交易</t>
        </is>
      </c>
      <c r="I19" s="55" t="inlineStr">
        <is>
          <t>AEC PHY 受益 AI 互联；LoRa 业务复苏</t>
        </is>
      </c>
      <c r="J19" s="55" t="inlineStr">
        <is>
          <t>AEC 营收增速</t>
        </is>
      </c>
      <c r="K19" s="55" t="inlineStr">
        <is>
          <t>—</t>
        </is>
      </c>
      <c r="L19" s="60" t="inlineStr">
        <is>
          <t>业务杂</t>
        </is>
      </c>
      <c r="M19" s="61" t="n"/>
      <c r="N19" s="61" t="n"/>
      <c r="O19" s="61" t="n"/>
      <c r="P19" s="62">
        <f>IF(N19="","",IFERROR((M19-N19)/N19,""))</f>
        <v/>
      </c>
      <c r="Q19" s="63" t="n"/>
      <c r="R19" s="63" t="n"/>
      <c r="S19" s="64" t="n"/>
      <c r="T19" s="65" t="n"/>
      <c r="U19" s="65" t="n"/>
      <c r="V19" s="63" t="n"/>
      <c r="W19" s="63" t="n"/>
      <c r="X19" s="63" t="n"/>
      <c r="Y19" s="63" t="n"/>
      <c r="Z19" s="62">
        <f>IF(COUNT(V19:Y19)=0,"",ROUND(AVERAGE(V19:Y19),1))</f>
        <v/>
      </c>
      <c r="AA19" s="62">
        <f>IF(COUNT(Q19:R19)=0,"",ROUND(AVERAGE(Q19:R19),1))</f>
        <v/>
      </c>
      <c r="AB19" s="62">
        <f>IF(AND(Z19="",AA19=""),"",ROUND(IFERROR(Z19,0)*0.6+IFERROR(AA19,0)*0.4,1))</f>
        <v/>
      </c>
      <c r="AC19" s="66" t="n"/>
    </row>
    <row r="20" ht="48" customHeight="1" s="45">
      <c r="A20" s="54" t="n">
        <v>19</v>
      </c>
      <c r="B20" s="54" t="inlineStr">
        <is>
          <t>ANET</t>
        </is>
      </c>
      <c r="C20" s="55" t="inlineStr">
        <is>
          <t>Arista Networks</t>
        </is>
      </c>
      <c r="D20" s="71" t="inlineStr">
        <is>
          <t>L5·跨节点网络</t>
        </is>
      </c>
      <c r="E20" s="60" t="inlineStr">
        <is>
          <t>数据中心交换机+EOS</t>
        </is>
      </c>
      <c r="F20" s="57" t="inlineStr">
        <is>
          <t>龙头</t>
        </is>
      </c>
      <c r="G20" s="58" t="inlineStr">
        <is>
          <t>★★★★☆</t>
        </is>
      </c>
      <c r="H20" s="59" t="inlineStr">
        <is>
          <t>核心配置</t>
        </is>
      </c>
      <c r="I20" s="55" t="inlineStr">
        <is>
          <t>Etherlink AI 网络；Meta/MSFT 大客户 AI 后端订单</t>
        </is>
      </c>
      <c r="J20" s="55" t="inlineStr">
        <is>
          <t>AI back-end 收入；Etherlink 出货</t>
        </is>
      </c>
      <c r="K20" s="60" t="inlineStr">
        <is>
          <t>锐捷网络</t>
        </is>
      </c>
      <c r="L20" s="55" t="inlineStr">
        <is>
          <t>Meta/MSFT 客户集中</t>
        </is>
      </c>
      <c r="M20" s="61" t="n"/>
      <c r="N20" s="61" t="n"/>
      <c r="O20" s="61" t="n"/>
      <c r="P20" s="62">
        <f>IF(N20="","",IFERROR((M20-N20)/N20,""))</f>
        <v/>
      </c>
      <c r="Q20" s="63" t="n"/>
      <c r="R20" s="63" t="n"/>
      <c r="S20" s="64" t="n"/>
      <c r="T20" s="65" t="n"/>
      <c r="U20" s="65" t="n"/>
      <c r="V20" s="63" t="n"/>
      <c r="W20" s="63" t="n"/>
      <c r="X20" s="63" t="n"/>
      <c r="Y20" s="63" t="n"/>
      <c r="Z20" s="62">
        <f>IF(COUNT(V20:Y20)=0,"",ROUND(AVERAGE(V20:Y20),1))</f>
        <v/>
      </c>
      <c r="AA20" s="62">
        <f>IF(COUNT(Q20:R20)=0,"",ROUND(AVERAGE(Q20:R20),1))</f>
        <v/>
      </c>
      <c r="AB20" s="62">
        <f>IF(AND(Z20="",AA20=""),"",ROUND(IFERROR(Z20,0)*0.6+IFERROR(AA20,0)*0.4,1))</f>
        <v/>
      </c>
      <c r="AC20" s="66" t="n"/>
    </row>
    <row r="21" ht="48" customHeight="1" s="45">
      <c r="A21" s="54" t="n">
        <v>20</v>
      </c>
      <c r="B21" s="54" t="inlineStr">
        <is>
          <t>CSCO</t>
        </is>
      </c>
      <c r="C21" s="55" t="inlineStr">
        <is>
          <t>Cisco</t>
        </is>
      </c>
      <c r="D21" s="71" t="inlineStr">
        <is>
          <t>L5·跨节点网络</t>
        </is>
      </c>
      <c r="E21" s="55" t="inlineStr">
        <is>
          <t>Silicon One+Splunk</t>
        </is>
      </c>
      <c r="F21" s="67" t="inlineStr">
        <is>
          <t>二线</t>
        </is>
      </c>
      <c r="G21" s="58" t="inlineStr">
        <is>
          <t>★★★☆☆</t>
        </is>
      </c>
      <c r="H21" s="59" t="inlineStr">
        <is>
          <t>卫星</t>
        </is>
      </c>
      <c r="I21" s="55" t="inlineStr">
        <is>
          <t>Silicon One AI 交换机订单回升+Splunk 协同</t>
        </is>
      </c>
      <c r="J21" s="55" t="inlineStr">
        <is>
          <t>AI 订单 backlog</t>
        </is>
      </c>
      <c r="K21" s="55" t="inlineStr">
        <is>
          <t>—</t>
        </is>
      </c>
      <c r="L21" s="60" t="inlineStr">
        <is>
          <t>增长慢</t>
        </is>
      </c>
      <c r="M21" s="61" t="n"/>
      <c r="N21" s="61" t="n"/>
      <c r="O21" s="61" t="n"/>
      <c r="P21" s="62">
        <f>IF(N21="","",IFERROR((M21-N21)/N21,""))</f>
        <v/>
      </c>
      <c r="Q21" s="63" t="n"/>
      <c r="R21" s="63" t="n"/>
      <c r="S21" s="64" t="n"/>
      <c r="T21" s="65" t="n"/>
      <c r="U21" s="65" t="n"/>
      <c r="V21" s="63" t="n"/>
      <c r="W21" s="63" t="n"/>
      <c r="X21" s="63" t="n"/>
      <c r="Y21" s="63" t="n"/>
      <c r="Z21" s="62">
        <f>IF(COUNT(V21:Y21)=0,"",ROUND(AVERAGE(V21:Y21),1))</f>
        <v/>
      </c>
      <c r="AA21" s="62">
        <f>IF(COUNT(Q21:R21)=0,"",ROUND(AVERAGE(Q21:R21),1))</f>
        <v/>
      </c>
      <c r="AB21" s="62">
        <f>IF(AND(Z21="",AA21=""),"",ROUND(IFERROR(Z21,0)*0.6+IFERROR(AA21,0)*0.4,1))</f>
        <v/>
      </c>
      <c r="AC21" s="66" t="n"/>
    </row>
    <row r="22" ht="48" customHeight="1" s="45">
      <c r="A22" s="54" t="n">
        <v>21</v>
      </c>
      <c r="B22" s="54" t="inlineStr">
        <is>
          <t>JNPR</t>
        </is>
      </c>
      <c r="C22" s="55" t="inlineStr">
        <is>
          <t>Juniper Networks</t>
        </is>
      </c>
      <c r="D22" s="71" t="inlineStr">
        <is>
          <t>L5·跨节点网络</t>
        </is>
      </c>
      <c r="E22" s="60" t="inlineStr">
        <is>
          <t>数据中心交换机</t>
        </is>
      </c>
      <c r="F22" s="67" t="inlineStr">
        <is>
          <t>二线</t>
        </is>
      </c>
      <c r="G22" s="58" t="inlineStr">
        <is>
          <t>★★☆☆☆</t>
        </is>
      </c>
      <c r="H22" s="59" t="inlineStr">
        <is>
          <t>题材交易</t>
        </is>
      </c>
      <c r="I22" s="60" t="inlineStr">
        <is>
          <t>被 HPE 收购套利；AI 网络一线产品</t>
        </is>
      </c>
      <c r="J22" s="60" t="inlineStr">
        <is>
          <t>并购完成时间</t>
        </is>
      </c>
      <c r="K22" s="55" t="inlineStr">
        <is>
          <t>—</t>
        </is>
      </c>
      <c r="L22" s="60" t="inlineStr">
        <is>
          <t>并购监管风险</t>
        </is>
      </c>
      <c r="M22" s="61" t="n"/>
      <c r="N22" s="61" t="n"/>
      <c r="O22" s="61" t="n"/>
      <c r="P22" s="62">
        <f>IF(N22="","",IFERROR((M22-N22)/N22,""))</f>
        <v/>
      </c>
      <c r="Q22" s="63" t="n"/>
      <c r="R22" s="63" t="n"/>
      <c r="S22" s="64" t="n"/>
      <c r="T22" s="65" t="n"/>
      <c r="U22" s="65" t="n"/>
      <c r="V22" s="63" t="n"/>
      <c r="W22" s="63" t="n"/>
      <c r="X22" s="63" t="n"/>
      <c r="Y22" s="63" t="n"/>
      <c r="Z22" s="62">
        <f>IF(COUNT(V22:Y22)=0,"",ROUND(AVERAGE(V22:Y22),1))</f>
        <v/>
      </c>
      <c r="AA22" s="62">
        <f>IF(COUNT(Q22:R22)=0,"",ROUND(AVERAGE(Q22:R22),1))</f>
        <v/>
      </c>
      <c r="AB22" s="62">
        <f>IF(AND(Z22="",AA22=""),"",ROUND(IFERROR(Z22,0)*0.6+IFERROR(AA22,0)*0.4,1))</f>
        <v/>
      </c>
      <c r="AC22" s="66" t="n"/>
    </row>
    <row r="23" ht="48" customHeight="1" s="45">
      <c r="A23" s="54" t="n">
        <v>22</v>
      </c>
      <c r="B23" s="54" t="inlineStr">
        <is>
          <t>COHR</t>
        </is>
      </c>
      <c r="C23" s="55" t="inlineStr">
        <is>
          <t>Coherent</t>
        </is>
      </c>
      <c r="D23" s="72" t="inlineStr">
        <is>
          <t>L6·光通信</t>
        </is>
      </c>
      <c r="E23" s="60" t="inlineStr">
        <is>
          <t>光模块+激光器+VCSEL</t>
        </is>
      </c>
      <c r="F23" s="57" t="inlineStr">
        <is>
          <t>龙头</t>
        </is>
      </c>
      <c r="G23" s="58" t="inlineStr">
        <is>
          <t>★★★★★</t>
        </is>
      </c>
      <c r="H23" s="59" t="inlineStr">
        <is>
          <t>核心配置</t>
        </is>
      </c>
      <c r="I23" s="60" t="inlineStr">
        <is>
          <t>光模块/激光全栈+CPO 时代受益；II-VI 整合协同</t>
        </is>
      </c>
      <c r="J23" s="55" t="inlineStr">
        <is>
          <t>1.6T+CPO 出货；中际旭创对标</t>
        </is>
      </c>
      <c r="K23" s="60" t="inlineStr">
        <is>
          <t>中际旭创</t>
        </is>
      </c>
      <c r="L23" s="60" t="inlineStr">
        <is>
          <t>整合期；商品光纤价格</t>
        </is>
      </c>
      <c r="M23" s="61" t="n"/>
      <c r="N23" s="61" t="n"/>
      <c r="O23" s="61" t="n"/>
      <c r="P23" s="62">
        <f>IF(N23="","",IFERROR((M23-N23)/N23,""))</f>
        <v/>
      </c>
      <c r="Q23" s="63" t="n"/>
      <c r="R23" s="63" t="n"/>
      <c r="S23" s="64" t="n"/>
      <c r="T23" s="65" t="n"/>
      <c r="U23" s="65" t="n"/>
      <c r="V23" s="63" t="n"/>
      <c r="W23" s="63" t="n"/>
      <c r="X23" s="63" t="n"/>
      <c r="Y23" s="63" t="n"/>
      <c r="Z23" s="62">
        <f>IF(COUNT(V23:Y23)=0,"",ROUND(AVERAGE(V23:Y23),1))</f>
        <v/>
      </c>
      <c r="AA23" s="62">
        <f>IF(COUNT(Q23:R23)=0,"",ROUND(AVERAGE(Q23:R23),1))</f>
        <v/>
      </c>
      <c r="AB23" s="62">
        <f>IF(AND(Z23="",AA23=""),"",ROUND(IFERROR(Z23,0)*0.6+IFERROR(AA23,0)*0.4,1))</f>
        <v/>
      </c>
      <c r="AC23" s="66" t="n"/>
    </row>
    <row r="24" ht="48" customHeight="1" s="45">
      <c r="A24" s="54" t="n">
        <v>23</v>
      </c>
      <c r="B24" s="54" t="inlineStr">
        <is>
          <t>LITE</t>
        </is>
      </c>
      <c r="C24" s="55" t="inlineStr">
        <is>
          <t>Lumentum</t>
        </is>
      </c>
      <c r="D24" s="72" t="inlineStr">
        <is>
          <t>L6·光通信</t>
        </is>
      </c>
      <c r="E24" s="60" t="inlineStr">
        <is>
          <t>光模块+激光器</t>
        </is>
      </c>
      <c r="F24" s="57" t="inlineStr">
        <is>
          <t>龙头</t>
        </is>
      </c>
      <c r="G24" s="58" t="inlineStr">
        <is>
          <t>★★★★☆</t>
        </is>
      </c>
      <c r="H24" s="59" t="inlineStr">
        <is>
          <t>卫星</t>
        </is>
      </c>
      <c r="I24" s="55" t="inlineStr">
        <is>
          <t>DCI 需求恢复；800G 模组放量</t>
        </is>
      </c>
      <c r="J24" s="55" t="inlineStr">
        <is>
          <t>800G/1.6T 出货</t>
        </is>
      </c>
      <c r="K24" s="60" t="inlineStr">
        <is>
          <t>新易盛</t>
        </is>
      </c>
      <c r="L24" s="60" t="inlineStr">
        <is>
          <t>苹果 VCSEL 周期</t>
        </is>
      </c>
      <c r="M24" s="61" t="n"/>
      <c r="N24" s="61" t="n"/>
      <c r="O24" s="61" t="n"/>
      <c r="P24" s="62">
        <f>IF(N24="","",IFERROR((M24-N24)/N24,""))</f>
        <v/>
      </c>
      <c r="Q24" s="63" t="n"/>
      <c r="R24" s="63" t="n"/>
      <c r="S24" s="64" t="n"/>
      <c r="T24" s="65" t="n"/>
      <c r="U24" s="65" t="n"/>
      <c r="V24" s="63" t="n"/>
      <c r="W24" s="63" t="n"/>
      <c r="X24" s="63" t="n"/>
      <c r="Y24" s="63" t="n"/>
      <c r="Z24" s="62">
        <f>IF(COUNT(V24:Y24)=0,"",ROUND(AVERAGE(V24:Y24),1))</f>
        <v/>
      </c>
      <c r="AA24" s="62">
        <f>IF(COUNT(Q24:R24)=0,"",ROUND(AVERAGE(Q24:R24),1))</f>
        <v/>
      </c>
      <c r="AB24" s="62">
        <f>IF(AND(Z24="",AA24=""),"",ROUND(IFERROR(Z24,0)*0.6+IFERROR(AA24,0)*0.4,1))</f>
        <v/>
      </c>
      <c r="AC24" s="66" t="n"/>
    </row>
    <row r="25" ht="48" customHeight="1" s="45">
      <c r="A25" s="54" t="n">
        <v>24</v>
      </c>
      <c r="B25" s="54" t="inlineStr">
        <is>
          <t>AAOI</t>
        </is>
      </c>
      <c r="C25" s="55" t="inlineStr">
        <is>
          <t>Applied Optoelec</t>
        </is>
      </c>
      <c r="D25" s="72" t="inlineStr">
        <is>
          <t>L6·光通信</t>
        </is>
      </c>
      <c r="E25" s="55" t="inlineStr">
        <is>
          <t>800G 光模块</t>
        </is>
      </c>
      <c r="F25" s="67" t="inlineStr">
        <is>
          <t>二线</t>
        </is>
      </c>
      <c r="G25" s="58" t="inlineStr">
        <is>
          <t>★★★★★</t>
        </is>
      </c>
      <c r="H25" s="59" t="inlineStr">
        <is>
          <t>题材交易</t>
        </is>
      </c>
      <c r="I25" s="55" t="inlineStr">
        <is>
          <t>MSFT 800G 大单爬坡；从亏损转盈利</t>
        </is>
      </c>
      <c r="J25" s="55" t="inlineStr">
        <is>
          <t>MSFT 订单兑现节奏</t>
        </is>
      </c>
      <c r="K25" s="60" t="inlineStr">
        <is>
          <t>天孚通信</t>
        </is>
      </c>
      <c r="L25" s="60" t="inlineStr">
        <is>
          <t>客户集中；体量小波动大</t>
        </is>
      </c>
      <c r="M25" s="61" t="n"/>
      <c r="N25" s="61" t="n"/>
      <c r="O25" s="61" t="n"/>
      <c r="P25" s="62">
        <f>IF(N25="","",IFERROR((M25-N25)/N25,""))</f>
        <v/>
      </c>
      <c r="Q25" s="63" t="n"/>
      <c r="R25" s="63" t="n"/>
      <c r="S25" s="64" t="n"/>
      <c r="T25" s="65" t="n"/>
      <c r="U25" s="65" t="n"/>
      <c r="V25" s="63" t="n"/>
      <c r="W25" s="63" t="n"/>
      <c r="X25" s="63" t="n"/>
      <c r="Y25" s="63" t="n"/>
      <c r="Z25" s="62">
        <f>IF(COUNT(V25:Y25)=0,"",ROUND(AVERAGE(V25:Y25),1))</f>
        <v/>
      </c>
      <c r="AA25" s="62">
        <f>IF(COUNT(Q25:R25)=0,"",ROUND(AVERAGE(Q25:R25),1))</f>
        <v/>
      </c>
      <c r="AB25" s="62">
        <f>IF(AND(Z25="",AA25=""),"",ROUND(IFERROR(Z25,0)*0.6+IFERROR(AA25,0)*0.4,1))</f>
        <v/>
      </c>
      <c r="AC25" s="66" t="n"/>
    </row>
    <row r="26" ht="48" customHeight="1" s="45">
      <c r="A26" s="54" t="n">
        <v>25</v>
      </c>
      <c r="B26" s="54" t="inlineStr">
        <is>
          <t>FN</t>
        </is>
      </c>
      <c r="C26" s="55" t="inlineStr">
        <is>
          <t>Fabrinet</t>
        </is>
      </c>
      <c r="D26" s="72" t="inlineStr">
        <is>
          <t>L6·光通信</t>
        </is>
      </c>
      <c r="E26" s="60" t="inlineStr">
        <is>
          <t>光器件代工</t>
        </is>
      </c>
      <c r="F26" s="57" t="inlineStr">
        <is>
          <t>龙头</t>
        </is>
      </c>
      <c r="G26" s="58" t="inlineStr">
        <is>
          <t>★★★★☆</t>
        </is>
      </c>
      <c r="H26" s="59" t="inlineStr">
        <is>
          <t>卫星</t>
        </is>
      </c>
      <c r="I26" s="55" t="inlineStr">
        <is>
          <t>NVDA 光器件主要代工厂；800G 产能爬坡</t>
        </is>
      </c>
      <c r="J26" s="55" t="inlineStr">
        <is>
          <t>NVDA 占比；产能扩张</t>
        </is>
      </c>
      <c r="K26" s="55" t="inlineStr">
        <is>
          <t>—</t>
        </is>
      </c>
      <c r="L26" s="60" t="inlineStr">
        <is>
          <t>代工微利</t>
        </is>
      </c>
      <c r="M26" s="61" t="n"/>
      <c r="N26" s="61" t="n"/>
      <c r="O26" s="61" t="n"/>
      <c r="P26" s="62">
        <f>IF(N26="","",IFERROR((M26-N26)/N26,""))</f>
        <v/>
      </c>
      <c r="Q26" s="63" t="n"/>
      <c r="R26" s="63" t="n"/>
      <c r="S26" s="64" t="n"/>
      <c r="T26" s="65" t="n"/>
      <c r="U26" s="65" t="n"/>
      <c r="V26" s="63" t="n"/>
      <c r="W26" s="63" t="n"/>
      <c r="X26" s="63" t="n"/>
      <c r="Y26" s="63" t="n"/>
      <c r="Z26" s="62">
        <f>IF(COUNT(V26:Y26)=0,"",ROUND(AVERAGE(V26:Y26),1))</f>
        <v/>
      </c>
      <c r="AA26" s="62">
        <f>IF(COUNT(Q26:R26)=0,"",ROUND(AVERAGE(Q26:R26),1))</f>
        <v/>
      </c>
      <c r="AB26" s="62">
        <f>IF(AND(Z26="",AA26=""),"",ROUND(IFERROR(Z26,0)*0.6+IFERROR(AA26,0)*0.4,1))</f>
        <v/>
      </c>
      <c r="AC26" s="66" t="n"/>
    </row>
    <row r="27" ht="48" customHeight="1" s="45">
      <c r="A27" s="54" t="n">
        <v>26</v>
      </c>
      <c r="B27" s="54" t="inlineStr">
        <is>
          <t>CIEN</t>
        </is>
      </c>
      <c r="C27" s="55" t="inlineStr">
        <is>
          <t>Ciena</t>
        </is>
      </c>
      <c r="D27" s="72" t="inlineStr">
        <is>
          <t>L6·光通信</t>
        </is>
      </c>
      <c r="E27" s="55" t="inlineStr">
        <is>
          <t>DCI+长距相干</t>
        </is>
      </c>
      <c r="F27" s="67" t="inlineStr">
        <is>
          <t>二线</t>
        </is>
      </c>
      <c r="G27" s="58" t="inlineStr">
        <is>
          <t>★★★☆☆</t>
        </is>
      </c>
      <c r="H27" s="59" t="inlineStr">
        <is>
          <t>卫星</t>
        </is>
      </c>
      <c r="I27" s="55" t="inlineStr">
        <is>
          <t>800G ZR 出货；hyperscaler DCI 需求</t>
        </is>
      </c>
      <c r="J27" s="55" t="inlineStr">
        <is>
          <t>DCI 订单</t>
        </is>
      </c>
      <c r="K27" s="55" t="inlineStr">
        <is>
          <t>—</t>
        </is>
      </c>
      <c r="L27" s="60" t="inlineStr">
        <is>
          <t>周期</t>
        </is>
      </c>
      <c r="M27" s="61" t="n"/>
      <c r="N27" s="61" t="n"/>
      <c r="O27" s="61" t="n"/>
      <c r="P27" s="62">
        <f>IF(N27="","",IFERROR((M27-N27)/N27,""))</f>
        <v/>
      </c>
      <c r="Q27" s="63" t="n"/>
      <c r="R27" s="63" t="n"/>
      <c r="S27" s="64" t="n"/>
      <c r="T27" s="65" t="n"/>
      <c r="U27" s="65" t="n"/>
      <c r="V27" s="63" t="n"/>
      <c r="W27" s="63" t="n"/>
      <c r="X27" s="63" t="n"/>
      <c r="Y27" s="63" t="n"/>
      <c r="Z27" s="62">
        <f>IF(COUNT(V27:Y27)=0,"",ROUND(AVERAGE(V27:Y27),1))</f>
        <v/>
      </c>
      <c r="AA27" s="62">
        <f>IF(COUNT(Q27:R27)=0,"",ROUND(AVERAGE(Q27:R27),1))</f>
        <v/>
      </c>
      <c r="AB27" s="62">
        <f>IF(AND(Z27="",AA27=""),"",ROUND(IFERROR(Z27,0)*0.6+IFERROR(AA27,0)*0.4,1))</f>
        <v/>
      </c>
      <c r="AC27" s="66" t="n"/>
    </row>
    <row r="28" ht="48" customHeight="1" s="45">
      <c r="A28" s="54" t="n">
        <v>27</v>
      </c>
      <c r="B28" s="54" t="inlineStr">
        <is>
          <t>AXTI</t>
        </is>
      </c>
      <c r="C28" s="55" t="inlineStr">
        <is>
          <t>AXT Inc</t>
        </is>
      </c>
      <c r="D28" s="72" t="inlineStr">
        <is>
          <t>L6·光通信</t>
        </is>
      </c>
      <c r="E28" s="55" t="inlineStr">
        <is>
          <t>InP/GaAs 衬底</t>
        </is>
      </c>
      <c r="F28" s="73" t="inlineStr">
        <is>
          <t>概念</t>
        </is>
      </c>
      <c r="G28" s="58" t="inlineStr">
        <is>
          <t>★★★★★</t>
        </is>
      </c>
      <c r="H28" s="59" t="inlineStr">
        <is>
          <t>题材交易</t>
        </is>
      </c>
      <c r="I28" s="55" t="inlineStr">
        <is>
          <t>InP 卡脖子上游；800G+硅光直接受益</t>
        </is>
      </c>
      <c r="J28" s="55" t="inlineStr">
        <is>
          <t>InP 涨价 / 国内云南锗业对标</t>
        </is>
      </c>
      <c r="K28" s="60" t="inlineStr">
        <is>
          <t>云南锗业·博杰</t>
        </is>
      </c>
      <c r="L28" s="60" t="inlineStr">
        <is>
          <t>盈利波动；体量小</t>
        </is>
      </c>
      <c r="M28" s="61" t="n"/>
      <c r="N28" s="61" t="n"/>
      <c r="O28" s="61" t="n"/>
      <c r="P28" s="62">
        <f>IF(N28="","",IFERROR((M28-N28)/N28,""))</f>
        <v/>
      </c>
      <c r="Q28" s="63" t="n"/>
      <c r="R28" s="63" t="n"/>
      <c r="S28" s="64" t="n"/>
      <c r="T28" s="65" t="n"/>
      <c r="U28" s="65" t="n"/>
      <c r="V28" s="63" t="n"/>
      <c r="W28" s="63" t="n"/>
      <c r="X28" s="63" t="n"/>
      <c r="Y28" s="63" t="n"/>
      <c r="Z28" s="62">
        <f>IF(COUNT(V28:Y28)=0,"",ROUND(AVERAGE(V28:Y28),1))</f>
        <v/>
      </c>
      <c r="AA28" s="62">
        <f>IF(COUNT(Q28:R28)=0,"",ROUND(AVERAGE(Q28:R28),1))</f>
        <v/>
      </c>
      <c r="AB28" s="62">
        <f>IF(AND(Z28="",AA28=""),"",ROUND(IFERROR(Z28,0)*0.6+IFERROR(AA28,0)*0.4,1))</f>
        <v/>
      </c>
      <c r="AC28" s="66" t="n"/>
    </row>
    <row r="29" ht="48" customHeight="1" s="45">
      <c r="A29" s="54" t="n">
        <v>28</v>
      </c>
      <c r="B29" s="54" t="inlineStr">
        <is>
          <t>POET</t>
        </is>
      </c>
      <c r="C29" s="55" t="inlineStr">
        <is>
          <t>POET Technologies</t>
        </is>
      </c>
      <c r="D29" s="72" t="inlineStr">
        <is>
          <t>L6·光通信</t>
        </is>
      </c>
      <c r="E29" s="60" t="inlineStr">
        <is>
          <t>硅光集成</t>
        </is>
      </c>
      <c r="F29" s="73" t="inlineStr">
        <is>
          <t>概念</t>
        </is>
      </c>
      <c r="G29" s="58" t="inlineStr">
        <is>
          <t>★★★★★</t>
        </is>
      </c>
      <c r="H29" s="59" t="inlineStr">
        <is>
          <t>题材交易</t>
        </is>
      </c>
      <c r="I29" s="60" t="inlineStr">
        <is>
          <t>硅光集成平台；CPO 时代标的</t>
        </is>
      </c>
      <c r="J29" s="60" t="inlineStr">
        <is>
          <t>首批客户出货</t>
        </is>
      </c>
      <c r="K29" s="55" t="inlineStr">
        <is>
          <t>—</t>
        </is>
      </c>
      <c r="L29" s="60" t="inlineStr">
        <is>
          <t>商业化未验证</t>
        </is>
      </c>
      <c r="M29" s="61" t="n"/>
      <c r="N29" s="61" t="n"/>
      <c r="O29" s="61" t="n"/>
      <c r="P29" s="62">
        <f>IF(N29="","",IFERROR((M29-N29)/N29,""))</f>
        <v/>
      </c>
      <c r="Q29" s="63" t="n"/>
      <c r="R29" s="63" t="n"/>
      <c r="S29" s="64" t="n"/>
      <c r="T29" s="65" t="n"/>
      <c r="U29" s="65" t="n"/>
      <c r="V29" s="63" t="n"/>
      <c r="W29" s="63" t="n"/>
      <c r="X29" s="63" t="n"/>
      <c r="Y29" s="63" t="n"/>
      <c r="Z29" s="62">
        <f>IF(COUNT(V29:Y29)=0,"",ROUND(AVERAGE(V29:Y29),1))</f>
        <v/>
      </c>
      <c r="AA29" s="62">
        <f>IF(COUNT(Q29:R29)=0,"",ROUND(AVERAGE(Q29:R29),1))</f>
        <v/>
      </c>
      <c r="AB29" s="62">
        <f>IF(AND(Z29="",AA29=""),"",ROUND(IFERROR(Z29,0)*0.6+IFERROR(AA29,0)*0.4,1))</f>
        <v/>
      </c>
      <c r="AC29" s="66" t="n"/>
    </row>
    <row r="30" ht="48" customHeight="1" s="45">
      <c r="A30" s="54" t="n">
        <v>29</v>
      </c>
      <c r="B30" s="54" t="inlineStr">
        <is>
          <t>IPGP</t>
        </is>
      </c>
      <c r="C30" s="55" t="inlineStr">
        <is>
          <t>IPG Photonics</t>
        </is>
      </c>
      <c r="D30" s="72" t="inlineStr">
        <is>
          <t>L6·光通信</t>
        </is>
      </c>
      <c r="E30" s="60" t="inlineStr">
        <is>
          <t>光纤激光器</t>
        </is>
      </c>
      <c r="F30" s="67" t="inlineStr">
        <is>
          <t>二线</t>
        </is>
      </c>
      <c r="G30" s="58" t="inlineStr">
        <is>
          <t>★★☆☆☆</t>
        </is>
      </c>
      <c r="H30" s="59" t="inlineStr">
        <is>
          <t>卫星</t>
        </is>
      </c>
      <c r="I30" s="60" t="inlineStr">
        <is>
          <t>工业激光为主，部分数通暴露</t>
        </is>
      </c>
      <c r="J30" s="60" t="inlineStr">
        <is>
          <t>中国工业景气</t>
        </is>
      </c>
      <c r="K30" s="55" t="inlineStr">
        <is>
          <t>—</t>
        </is>
      </c>
      <c r="L30" s="60" t="inlineStr">
        <is>
          <t>增长有限</t>
        </is>
      </c>
      <c r="M30" s="61" t="n"/>
      <c r="N30" s="61" t="n"/>
      <c r="O30" s="61" t="n"/>
      <c r="P30" s="62">
        <f>IF(N30="","",IFERROR((M30-N30)/N30,""))</f>
        <v/>
      </c>
      <c r="Q30" s="63" t="n"/>
      <c r="R30" s="63" t="n"/>
      <c r="S30" s="64" t="n"/>
      <c r="T30" s="65" t="n"/>
      <c r="U30" s="65" t="n"/>
      <c r="V30" s="63" t="n"/>
      <c r="W30" s="63" t="n"/>
      <c r="X30" s="63" t="n"/>
      <c r="Y30" s="63" t="n"/>
      <c r="Z30" s="62">
        <f>IF(COUNT(V30:Y30)=0,"",ROUND(AVERAGE(V30:Y30),1))</f>
        <v/>
      </c>
      <c r="AA30" s="62">
        <f>IF(COUNT(Q30:R30)=0,"",ROUND(AVERAGE(Q30:R30),1))</f>
        <v/>
      </c>
      <c r="AB30" s="62">
        <f>IF(AND(Z30="",AA30=""),"",ROUND(IFERROR(Z30,0)*0.6+IFERROR(AA30,0)*0.4,1))</f>
        <v/>
      </c>
      <c r="AC30" s="66" t="n"/>
    </row>
    <row r="31" ht="48" customHeight="1" s="45">
      <c r="A31" s="54" t="n">
        <v>30</v>
      </c>
      <c r="B31" s="54" t="inlineStr">
        <is>
          <t>LASR</t>
        </is>
      </c>
      <c r="C31" s="55" t="inlineStr">
        <is>
          <t>nLight</t>
        </is>
      </c>
      <c r="D31" s="72" t="inlineStr">
        <is>
          <t>L6·光通信</t>
        </is>
      </c>
      <c r="E31" s="60" t="inlineStr">
        <is>
          <t>半导体激光</t>
        </is>
      </c>
      <c r="F31" s="73" t="inlineStr">
        <is>
          <t>概念</t>
        </is>
      </c>
      <c r="G31" s="58" t="inlineStr">
        <is>
          <t>★★★☆☆</t>
        </is>
      </c>
      <c r="H31" s="59" t="inlineStr">
        <is>
          <t>题材交易</t>
        </is>
      </c>
      <c r="I31" s="60" t="inlineStr">
        <is>
          <t>国防+工业，部分数通激光</t>
        </is>
      </c>
      <c r="J31" s="60" t="inlineStr">
        <is>
          <t>国防订单</t>
        </is>
      </c>
      <c r="K31" s="55" t="inlineStr">
        <is>
          <t>—</t>
        </is>
      </c>
      <c r="L31" s="60" t="inlineStr">
        <is>
          <t>体量小</t>
        </is>
      </c>
      <c r="M31" s="61" t="n"/>
      <c r="N31" s="61" t="n"/>
      <c r="O31" s="61" t="n"/>
      <c r="P31" s="62">
        <f>IF(N31="","",IFERROR((M31-N31)/N31,""))</f>
        <v/>
      </c>
      <c r="Q31" s="63" t="n"/>
      <c r="R31" s="63" t="n"/>
      <c r="S31" s="64" t="n"/>
      <c r="T31" s="65" t="n"/>
      <c r="U31" s="65" t="n"/>
      <c r="V31" s="63" t="n"/>
      <c r="W31" s="63" t="n"/>
      <c r="X31" s="63" t="n"/>
      <c r="Y31" s="63" t="n"/>
      <c r="Z31" s="62">
        <f>IF(COUNT(V31:Y31)=0,"",ROUND(AVERAGE(V31:Y31),1))</f>
        <v/>
      </c>
      <c r="AA31" s="62">
        <f>IF(COUNT(Q31:R31)=0,"",ROUND(AVERAGE(Q31:R31),1))</f>
        <v/>
      </c>
      <c r="AB31" s="62">
        <f>IF(AND(Z31="",AA31=""),"",ROUND(IFERROR(Z31,0)*0.6+IFERROR(AA31,0)*0.4,1))</f>
        <v/>
      </c>
      <c r="AC31" s="66" t="n"/>
    </row>
    <row r="32" ht="48" customHeight="1" s="45">
      <c r="A32" s="54" t="n">
        <v>31</v>
      </c>
      <c r="B32" s="54" t="inlineStr">
        <is>
          <t>SMCI</t>
        </is>
      </c>
      <c r="C32" s="55" t="inlineStr">
        <is>
          <t>Super Micro</t>
        </is>
      </c>
      <c r="D32" s="74" t="inlineStr">
        <is>
          <t>L7·整柜·OEM</t>
        </is>
      </c>
      <c r="E32" s="55" t="inlineStr">
        <is>
          <t>GPU 服务器+液冷整柜</t>
        </is>
      </c>
      <c r="F32" s="57" t="inlineStr">
        <is>
          <t>龙头</t>
        </is>
      </c>
      <c r="G32" s="58" t="inlineStr">
        <is>
          <t>★★★★☆</t>
        </is>
      </c>
      <c r="H32" s="59" t="inlineStr">
        <is>
          <t>卫星</t>
        </is>
      </c>
      <c r="I32" s="60" t="inlineStr">
        <is>
          <t>液冷整柜先发；NVDA Blackwell 首批合作伙伴</t>
        </is>
      </c>
      <c r="J32" s="60" t="inlineStr">
        <is>
          <t>财报合规；液冷渗透率</t>
        </is>
      </c>
      <c r="K32" s="60" t="inlineStr">
        <is>
          <t>工业富联</t>
        </is>
      </c>
      <c r="L32" s="60" t="inlineStr">
        <is>
          <t>公司治理风险已部分解除</t>
        </is>
      </c>
      <c r="M32" s="61" t="n"/>
      <c r="N32" s="61" t="n"/>
      <c r="O32" s="61" t="n"/>
      <c r="P32" s="62">
        <f>IF(N32="","",IFERROR((M32-N32)/N32,""))</f>
        <v/>
      </c>
      <c r="Q32" s="63" t="n"/>
      <c r="R32" s="63" t="n"/>
      <c r="S32" s="64" t="n"/>
      <c r="T32" s="65" t="n"/>
      <c r="U32" s="65" t="n"/>
      <c r="V32" s="63" t="n"/>
      <c r="W32" s="63" t="n"/>
      <c r="X32" s="63" t="n"/>
      <c r="Y32" s="63" t="n"/>
      <c r="Z32" s="62">
        <f>IF(COUNT(V32:Y32)=0,"",ROUND(AVERAGE(V32:Y32),1))</f>
        <v/>
      </c>
      <c r="AA32" s="62">
        <f>IF(COUNT(Q32:R32)=0,"",ROUND(AVERAGE(Q32:R32),1))</f>
        <v/>
      </c>
      <c r="AB32" s="62">
        <f>IF(AND(Z32="",AA32=""),"",ROUND(IFERROR(Z32,0)*0.6+IFERROR(AA32,0)*0.4,1))</f>
        <v/>
      </c>
      <c r="AC32" s="66" t="n"/>
    </row>
    <row r="33" ht="48" customHeight="1" s="45">
      <c r="A33" s="54" t="n">
        <v>32</v>
      </c>
      <c r="B33" s="54" t="inlineStr">
        <is>
          <t>DELL</t>
        </is>
      </c>
      <c r="C33" s="55" t="inlineStr">
        <is>
          <t>Dell Tech</t>
        </is>
      </c>
      <c r="D33" s="74" t="inlineStr">
        <is>
          <t>L7·整柜·OEM</t>
        </is>
      </c>
      <c r="E33" s="55" t="inlineStr">
        <is>
          <t>AI 服务器+企业</t>
        </is>
      </c>
      <c r="F33" s="57" t="inlineStr">
        <is>
          <t>龙头</t>
        </is>
      </c>
      <c r="G33" s="58" t="inlineStr">
        <is>
          <t>★★★☆☆</t>
        </is>
      </c>
      <c r="H33" s="59" t="inlineStr">
        <is>
          <t>核心配置</t>
        </is>
      </c>
      <c r="I33" s="55" t="inlineStr">
        <is>
          <t>AI 服务器 backlog 大；企业基本盘稳</t>
        </is>
      </c>
      <c r="J33" s="55" t="inlineStr">
        <is>
          <t>AI 订单出货节奏</t>
        </is>
      </c>
      <c r="K33" s="60" t="inlineStr">
        <is>
          <t>浪潮信息</t>
        </is>
      </c>
      <c r="L33" s="60" t="inlineStr">
        <is>
          <t>毛利率薄</t>
        </is>
      </c>
      <c r="M33" s="61" t="n"/>
      <c r="N33" s="61" t="n"/>
      <c r="O33" s="61" t="n"/>
      <c r="P33" s="62">
        <f>IF(N33="","",IFERROR((M33-N33)/N33,""))</f>
        <v/>
      </c>
      <c r="Q33" s="63" t="n"/>
      <c r="R33" s="63" t="n"/>
      <c r="S33" s="64" t="n"/>
      <c r="T33" s="65" t="n"/>
      <c r="U33" s="65" t="n"/>
      <c r="V33" s="63" t="n"/>
      <c r="W33" s="63" t="n"/>
      <c r="X33" s="63" t="n"/>
      <c r="Y33" s="63" t="n"/>
      <c r="Z33" s="62">
        <f>IF(COUNT(V33:Y33)=0,"",ROUND(AVERAGE(V33:Y33),1))</f>
        <v/>
      </c>
      <c r="AA33" s="62">
        <f>IF(COUNT(Q33:R33)=0,"",ROUND(AVERAGE(Q33:R33),1))</f>
        <v/>
      </c>
      <c r="AB33" s="62">
        <f>IF(AND(Z33="",AA33=""),"",ROUND(IFERROR(Z33,0)*0.6+IFERROR(AA33,0)*0.4,1))</f>
        <v/>
      </c>
      <c r="AC33" s="66" t="n"/>
    </row>
    <row r="34" ht="48" customHeight="1" s="45">
      <c r="A34" s="54" t="n">
        <v>33</v>
      </c>
      <c r="B34" s="54" t="inlineStr">
        <is>
          <t>HPE</t>
        </is>
      </c>
      <c r="C34" s="55" t="inlineStr">
        <is>
          <t>HPE</t>
        </is>
      </c>
      <c r="D34" s="74" t="inlineStr">
        <is>
          <t>L7·整柜·OEM</t>
        </is>
      </c>
      <c r="E34" s="55" t="inlineStr">
        <is>
          <t>AI 服务器+JNPR</t>
        </is>
      </c>
      <c r="F34" s="67" t="inlineStr">
        <is>
          <t>二线</t>
        </is>
      </c>
      <c r="G34" s="58" t="inlineStr">
        <is>
          <t>★★★☆☆</t>
        </is>
      </c>
      <c r="H34" s="59" t="inlineStr">
        <is>
          <t>卫星</t>
        </is>
      </c>
      <c r="I34" s="55" t="inlineStr">
        <is>
          <t>AI 服务器订单+JNPR 网络协同</t>
        </is>
      </c>
      <c r="J34" s="55" t="inlineStr">
        <is>
          <t>JNPR 整合进度</t>
        </is>
      </c>
      <c r="K34" s="55" t="inlineStr">
        <is>
          <t>—</t>
        </is>
      </c>
      <c r="L34" s="60" t="inlineStr">
        <is>
          <t>整合期</t>
        </is>
      </c>
      <c r="M34" s="61" t="n"/>
      <c r="N34" s="61" t="n"/>
      <c r="O34" s="61" t="n"/>
      <c r="P34" s="62">
        <f>IF(N34="","",IFERROR((M34-N34)/N34,""))</f>
        <v/>
      </c>
      <c r="Q34" s="63" t="n"/>
      <c r="R34" s="63" t="n"/>
      <c r="S34" s="64" t="n"/>
      <c r="T34" s="65" t="n"/>
      <c r="U34" s="65" t="n"/>
      <c r="V34" s="63" t="n"/>
      <c r="W34" s="63" t="n"/>
      <c r="X34" s="63" t="n"/>
      <c r="Y34" s="63" t="n"/>
      <c r="Z34" s="62">
        <f>IF(COUNT(V34:Y34)=0,"",ROUND(AVERAGE(V34:Y34),1))</f>
        <v/>
      </c>
      <c r="AA34" s="62">
        <f>IF(COUNT(Q34:R34)=0,"",ROUND(AVERAGE(Q34:R34),1))</f>
        <v/>
      </c>
      <c r="AB34" s="62">
        <f>IF(AND(Z34="",AA34=""),"",ROUND(IFERROR(Z34,0)*0.6+IFERROR(AA34,0)*0.4,1))</f>
        <v/>
      </c>
      <c r="AC34" s="66" t="n"/>
    </row>
    <row r="35" ht="48" customHeight="1" s="45">
      <c r="A35" s="54" t="n">
        <v>34</v>
      </c>
      <c r="B35" s="54" t="inlineStr">
        <is>
          <t>IBM</t>
        </is>
      </c>
      <c r="C35" s="55" t="inlineStr">
        <is>
          <t>IBM</t>
        </is>
      </c>
      <c r="D35" s="74" t="inlineStr">
        <is>
          <t>L7·整柜·OEM</t>
        </is>
      </c>
      <c r="E35" s="60" t="inlineStr">
        <is>
          <t>混合云+watsonx+大机</t>
        </is>
      </c>
      <c r="F35" s="67" t="inlineStr">
        <is>
          <t>二线</t>
        </is>
      </c>
      <c r="G35" s="58" t="inlineStr">
        <is>
          <t>★★★☆☆</t>
        </is>
      </c>
      <c r="H35" s="59" t="inlineStr">
        <is>
          <t>卫星</t>
        </is>
      </c>
      <c r="I35" s="55" t="inlineStr">
        <is>
          <t>watsonx 软件订单+大型机周期+咨询</t>
        </is>
      </c>
      <c r="J35" s="60" t="inlineStr">
        <is>
          <t>软件订单增速</t>
        </is>
      </c>
      <c r="K35" s="55" t="inlineStr">
        <is>
          <t>—</t>
        </is>
      </c>
      <c r="L35" s="60" t="inlineStr">
        <is>
          <t>转型缓慢</t>
        </is>
      </c>
      <c r="M35" s="61" t="n"/>
      <c r="N35" s="61" t="n"/>
      <c r="O35" s="61" t="n"/>
      <c r="P35" s="62">
        <f>IF(N35="","",IFERROR((M35-N35)/N35,""))</f>
        <v/>
      </c>
      <c r="Q35" s="63" t="n"/>
      <c r="R35" s="63" t="n"/>
      <c r="S35" s="64" t="n"/>
      <c r="T35" s="65" t="n"/>
      <c r="U35" s="65" t="n"/>
      <c r="V35" s="63" t="n"/>
      <c r="W35" s="63" t="n"/>
      <c r="X35" s="63" t="n"/>
      <c r="Y35" s="63" t="n"/>
      <c r="Z35" s="62">
        <f>IF(COUNT(V35:Y35)=0,"",ROUND(AVERAGE(V35:Y35),1))</f>
        <v/>
      </c>
      <c r="AA35" s="62">
        <f>IF(COUNT(Q35:R35)=0,"",ROUND(AVERAGE(Q35:R35),1))</f>
        <v/>
      </c>
      <c r="AB35" s="62">
        <f>IF(AND(Z35="",AA35=""),"",ROUND(IFERROR(Z35,0)*0.6+IFERROR(AA35,0)*0.4,1))</f>
        <v/>
      </c>
      <c r="AC35" s="66" t="n"/>
    </row>
    <row r="36" ht="48" customHeight="1" s="45">
      <c r="A36" s="54" t="n">
        <v>35</v>
      </c>
      <c r="B36" s="54" t="inlineStr">
        <is>
          <t>LNVGY</t>
        </is>
      </c>
      <c r="C36" s="55" t="inlineStr">
        <is>
          <t>Lenovo ADR</t>
        </is>
      </c>
      <c r="D36" s="74" t="inlineStr">
        <is>
          <t>L7·整柜·OEM</t>
        </is>
      </c>
      <c r="E36" s="55" t="inlineStr">
        <is>
          <t>PC+服务器全球</t>
        </is>
      </c>
      <c r="F36" s="67" t="inlineStr">
        <is>
          <t>二线</t>
        </is>
      </c>
      <c r="G36" s="58" t="inlineStr">
        <is>
          <t>★★★☆☆</t>
        </is>
      </c>
      <c r="H36" s="59" t="inlineStr">
        <is>
          <t>题材交易</t>
        </is>
      </c>
      <c r="I36" s="55" t="inlineStr">
        <is>
          <t>AI 服务器订单+AI PC 全球渠道</t>
        </is>
      </c>
      <c r="J36" s="55" t="inlineStr">
        <is>
          <t>AI 服务器营收占比</t>
        </is>
      </c>
      <c r="K36" s="55" t="inlineStr">
        <is>
          <t>—</t>
        </is>
      </c>
      <c r="L36" s="55" t="inlineStr">
        <is>
          <t>ADR 流动性</t>
        </is>
      </c>
      <c r="M36" s="61" t="n"/>
      <c r="N36" s="61" t="n"/>
      <c r="O36" s="61" t="n"/>
      <c r="P36" s="62">
        <f>IF(N36="","",IFERROR((M36-N36)/N36,""))</f>
        <v/>
      </c>
      <c r="Q36" s="63" t="n"/>
      <c r="R36" s="63" t="n"/>
      <c r="S36" s="64" t="n"/>
      <c r="T36" s="65" t="n"/>
      <c r="U36" s="65" t="n"/>
      <c r="V36" s="63" t="n"/>
      <c r="W36" s="63" t="n"/>
      <c r="X36" s="63" t="n"/>
      <c r="Y36" s="63" t="n"/>
      <c r="Z36" s="62">
        <f>IF(COUNT(V36:Y36)=0,"",ROUND(AVERAGE(V36:Y36),1))</f>
        <v/>
      </c>
      <c r="AA36" s="62">
        <f>IF(COUNT(Q36:R36)=0,"",ROUND(AVERAGE(Q36:R36),1))</f>
        <v/>
      </c>
      <c r="AB36" s="62">
        <f>IF(AND(Z36="",AA36=""),"",ROUND(IFERROR(Z36,0)*0.6+IFERROR(AA36,0)*0.4,1))</f>
        <v/>
      </c>
      <c r="AC36" s="66" t="n"/>
    </row>
    <row r="37" ht="48" customHeight="1" s="45">
      <c r="A37" s="54" t="n">
        <v>36</v>
      </c>
      <c r="B37" s="54" t="inlineStr">
        <is>
          <t>MSFT</t>
        </is>
      </c>
      <c r="C37" s="55" t="inlineStr">
        <is>
          <t>Microsoft</t>
        </is>
      </c>
      <c r="D37" s="75" t="inlineStr">
        <is>
          <t>L8·云·算力工厂</t>
        </is>
      </c>
      <c r="E37" s="55" t="inlineStr">
        <is>
          <t>Azure+OpenAI+M365</t>
        </is>
      </c>
      <c r="F37" s="57" t="inlineStr">
        <is>
          <t>龙头</t>
        </is>
      </c>
      <c r="G37" s="58" t="inlineStr">
        <is>
          <t>★★★★☆</t>
        </is>
      </c>
      <c r="H37" s="59" t="inlineStr">
        <is>
          <t>核心配置</t>
        </is>
      </c>
      <c r="I37" s="55" t="inlineStr">
        <is>
          <t>Azure AI 收入+M365 Copilot 渗透+OpenAI 持股</t>
        </is>
      </c>
      <c r="J37" s="55" t="inlineStr">
        <is>
          <t>Azure 增速；Capex 指引</t>
        </is>
      </c>
      <c r="K37" s="55" t="inlineStr">
        <is>
          <t>—</t>
        </is>
      </c>
      <c r="L37" s="55" t="inlineStr">
        <is>
          <t>Capex 消化</t>
        </is>
      </c>
      <c r="M37" s="61" t="n"/>
      <c r="N37" s="61" t="n"/>
      <c r="O37" s="61" t="n"/>
      <c r="P37" s="62">
        <f>IF(N37="","",IFERROR((M37-N37)/N37,""))</f>
        <v/>
      </c>
      <c r="Q37" s="63" t="n"/>
      <c r="R37" s="63" t="n"/>
      <c r="S37" s="64" t="n"/>
      <c r="T37" s="65" t="n"/>
      <c r="U37" s="65" t="n"/>
      <c r="V37" s="63" t="n"/>
      <c r="W37" s="63" t="n"/>
      <c r="X37" s="63" t="n"/>
      <c r="Y37" s="63" t="n"/>
      <c r="Z37" s="62">
        <f>IF(COUNT(V37:Y37)=0,"",ROUND(AVERAGE(V37:Y37),1))</f>
        <v/>
      </c>
      <c r="AA37" s="62">
        <f>IF(COUNT(Q37:R37)=0,"",ROUND(AVERAGE(Q37:R37),1))</f>
        <v/>
      </c>
      <c r="AB37" s="62">
        <f>IF(AND(Z37="",AA37=""),"",ROUND(IFERROR(Z37,0)*0.6+IFERROR(AA37,0)*0.4,1))</f>
        <v/>
      </c>
      <c r="AC37" s="66" t="n"/>
    </row>
    <row r="38" ht="48" customHeight="1" s="45">
      <c r="A38" s="54" t="n">
        <v>37</v>
      </c>
      <c r="B38" s="54" t="inlineStr">
        <is>
          <t>AMZN</t>
        </is>
      </c>
      <c r="C38" s="55" t="inlineStr">
        <is>
          <t>Amazon</t>
        </is>
      </c>
      <c r="D38" s="75" t="inlineStr">
        <is>
          <t>L8·云·算力工厂</t>
        </is>
      </c>
      <c r="E38" s="55" t="inlineStr">
        <is>
          <t>AWS+Trainium+电商</t>
        </is>
      </c>
      <c r="F38" s="57" t="inlineStr">
        <is>
          <t>龙头</t>
        </is>
      </c>
      <c r="G38" s="58" t="inlineStr">
        <is>
          <t>★★★★☆</t>
        </is>
      </c>
      <c r="H38" s="59" t="inlineStr">
        <is>
          <t>核心配置</t>
        </is>
      </c>
      <c r="I38" s="55" t="inlineStr">
        <is>
          <t>AWS 增速回升+自研 Trainium 节降推理成本</t>
        </is>
      </c>
      <c r="J38" s="55" t="inlineStr">
        <is>
          <t>AWS 增速；Trainium 占比</t>
        </is>
      </c>
      <c r="K38" s="60" t="inlineStr">
        <is>
          <t>阿里云</t>
        </is>
      </c>
      <c r="L38" s="55" t="inlineStr">
        <is>
          <t>Capex 强度</t>
        </is>
      </c>
      <c r="M38" s="61" t="n"/>
      <c r="N38" s="61" t="n"/>
      <c r="O38" s="61" t="n"/>
      <c r="P38" s="62">
        <f>IF(N38="","",IFERROR((M38-N38)/N38,""))</f>
        <v/>
      </c>
      <c r="Q38" s="63" t="n"/>
      <c r="R38" s="63" t="n"/>
      <c r="S38" s="64" t="n"/>
      <c r="T38" s="65" t="n"/>
      <c r="U38" s="65" t="n"/>
      <c r="V38" s="63" t="n"/>
      <c r="W38" s="63" t="n"/>
      <c r="X38" s="63" t="n"/>
      <c r="Y38" s="63" t="n"/>
      <c r="Z38" s="62">
        <f>IF(COUNT(V38:Y38)=0,"",ROUND(AVERAGE(V38:Y38),1))</f>
        <v/>
      </c>
      <c r="AA38" s="62">
        <f>IF(COUNT(Q38:R38)=0,"",ROUND(AVERAGE(Q38:R38),1))</f>
        <v/>
      </c>
      <c r="AB38" s="62">
        <f>IF(AND(Z38="",AA38=""),"",ROUND(IFERROR(Z38,0)*0.6+IFERROR(AA38,0)*0.4,1))</f>
        <v/>
      </c>
      <c r="AC38" s="66" t="n"/>
    </row>
    <row r="39" ht="48" customHeight="1" s="45">
      <c r="A39" s="54" t="n">
        <v>38</v>
      </c>
      <c r="B39" s="54" t="inlineStr">
        <is>
          <t>GOOGL</t>
        </is>
      </c>
      <c r="C39" s="55" t="inlineStr">
        <is>
          <t>Alphabet</t>
        </is>
      </c>
      <c r="D39" s="75" t="inlineStr">
        <is>
          <t>L8·云·算力工厂</t>
        </is>
      </c>
      <c r="E39" s="55" t="inlineStr">
        <is>
          <t>GCP+TPU+搜索</t>
        </is>
      </c>
      <c r="F39" s="57" t="inlineStr">
        <is>
          <t>龙头</t>
        </is>
      </c>
      <c r="G39" s="58" t="inlineStr">
        <is>
          <t>★★★★☆</t>
        </is>
      </c>
      <c r="H39" s="59" t="inlineStr">
        <is>
          <t>核心配置</t>
        </is>
      </c>
      <c r="I39" s="55" t="inlineStr">
        <is>
          <t>GCP 加速；TPU 内外销；Gemini 模型反弹</t>
        </is>
      </c>
      <c r="J39" s="55" t="inlineStr">
        <is>
          <t>TPU 外销；GCP 增速</t>
        </is>
      </c>
      <c r="K39" s="55" t="inlineStr">
        <is>
          <t>—</t>
        </is>
      </c>
      <c r="L39" s="60" t="inlineStr">
        <is>
          <t>搜索反垄断</t>
        </is>
      </c>
      <c r="M39" s="61" t="n"/>
      <c r="N39" s="61" t="n"/>
      <c r="O39" s="61" t="n"/>
      <c r="P39" s="62">
        <f>IF(N39="","",IFERROR((M39-N39)/N39,""))</f>
        <v/>
      </c>
      <c r="Q39" s="63" t="n"/>
      <c r="R39" s="63" t="n"/>
      <c r="S39" s="64" t="n"/>
      <c r="T39" s="65" t="n"/>
      <c r="U39" s="65" t="n"/>
      <c r="V39" s="63" t="n"/>
      <c r="W39" s="63" t="n"/>
      <c r="X39" s="63" t="n"/>
      <c r="Y39" s="63" t="n"/>
      <c r="Z39" s="62">
        <f>IF(COUNT(V39:Y39)=0,"",ROUND(AVERAGE(V39:Y39),1))</f>
        <v/>
      </c>
      <c r="AA39" s="62">
        <f>IF(COUNT(Q39:R39)=0,"",ROUND(AVERAGE(Q39:R39),1))</f>
        <v/>
      </c>
      <c r="AB39" s="62">
        <f>IF(AND(Z39="",AA39=""),"",ROUND(IFERROR(Z39,0)*0.6+IFERROR(AA39,0)*0.4,1))</f>
        <v/>
      </c>
      <c r="AC39" s="66" t="n"/>
    </row>
    <row r="40" ht="48" customHeight="1" s="45">
      <c r="A40" s="54" t="n">
        <v>39</v>
      </c>
      <c r="B40" s="54" t="inlineStr">
        <is>
          <t>META</t>
        </is>
      </c>
      <c r="C40" s="55" t="inlineStr">
        <is>
          <t>Meta</t>
        </is>
      </c>
      <c r="D40" s="75" t="inlineStr">
        <is>
          <t>L8·云·算力工厂</t>
        </is>
      </c>
      <c r="E40" s="60" t="inlineStr">
        <is>
          <t>广告+MTIA+开源 LLM</t>
        </is>
      </c>
      <c r="F40" s="57" t="inlineStr">
        <is>
          <t>龙头</t>
        </is>
      </c>
      <c r="G40" s="58" t="inlineStr">
        <is>
          <t>★★★★☆</t>
        </is>
      </c>
      <c r="H40" s="59" t="inlineStr">
        <is>
          <t>核心配置</t>
        </is>
      </c>
      <c r="I40" s="60" t="inlineStr">
        <is>
          <t>广告 ROI+自研 MTIA+开源 Llama 生态</t>
        </is>
      </c>
      <c r="J40" s="55" t="inlineStr">
        <is>
          <t>Reality Labs 收敛；广告 ROI</t>
        </is>
      </c>
      <c r="K40" s="55" t="inlineStr">
        <is>
          <t>—</t>
        </is>
      </c>
      <c r="L40" s="60" t="inlineStr">
        <is>
          <t>短期回报压力</t>
        </is>
      </c>
      <c r="M40" s="61" t="n"/>
      <c r="N40" s="61" t="n"/>
      <c r="O40" s="61" t="n"/>
      <c r="P40" s="62">
        <f>IF(N40="","",IFERROR((M40-N40)/N40,""))</f>
        <v/>
      </c>
      <c r="Q40" s="63" t="n"/>
      <c r="R40" s="63" t="n"/>
      <c r="S40" s="64" t="n"/>
      <c r="T40" s="65" t="n"/>
      <c r="U40" s="65" t="n"/>
      <c r="V40" s="63" t="n"/>
      <c r="W40" s="63" t="n"/>
      <c r="X40" s="63" t="n"/>
      <c r="Y40" s="63" t="n"/>
      <c r="Z40" s="62">
        <f>IF(COUNT(V40:Y40)=0,"",ROUND(AVERAGE(V40:Y40),1))</f>
        <v/>
      </c>
      <c r="AA40" s="62">
        <f>IF(COUNT(Q40:R40)=0,"",ROUND(AVERAGE(Q40:R40),1))</f>
        <v/>
      </c>
      <c r="AB40" s="62">
        <f>IF(AND(Z40="",AA40=""),"",ROUND(IFERROR(Z40,0)*0.6+IFERROR(AA40,0)*0.4,1))</f>
        <v/>
      </c>
      <c r="AC40" s="66" t="n"/>
    </row>
    <row r="41" ht="48" customHeight="1" s="45">
      <c r="A41" s="54" t="n">
        <v>40</v>
      </c>
      <c r="B41" s="54" t="inlineStr">
        <is>
          <t>ORCL</t>
        </is>
      </c>
      <c r="C41" s="55" t="inlineStr">
        <is>
          <t>Oracle</t>
        </is>
      </c>
      <c r="D41" s="75" t="inlineStr">
        <is>
          <t>L8·云·算力工厂</t>
        </is>
      </c>
      <c r="E41" s="55" t="inlineStr">
        <is>
          <t>OCI+RPO+数据库</t>
        </is>
      </c>
      <c r="F41" s="57" t="inlineStr">
        <is>
          <t>龙头</t>
        </is>
      </c>
      <c r="G41" s="58" t="inlineStr">
        <is>
          <t>★★★★★</t>
        </is>
      </c>
      <c r="H41" s="59" t="inlineStr">
        <is>
          <t>核心配置</t>
        </is>
      </c>
      <c r="I41" s="55" t="inlineStr">
        <is>
          <t>OCI 算力订单 RPO 爆炸；与 NVDA/OpenAI 合作</t>
        </is>
      </c>
      <c r="J41" s="55" t="inlineStr">
        <is>
          <t>RPO/Capex 指引</t>
        </is>
      </c>
      <c r="K41" s="55" t="inlineStr">
        <is>
          <t>—</t>
        </is>
      </c>
      <c r="L41" s="55" t="inlineStr">
        <is>
          <t>Capex+电力卡点</t>
        </is>
      </c>
      <c r="M41" s="61" t="n"/>
      <c r="N41" s="61" t="n"/>
      <c r="O41" s="61" t="n"/>
      <c r="P41" s="62">
        <f>IF(N41="","",IFERROR((M41-N41)/N41,""))</f>
        <v/>
      </c>
      <c r="Q41" s="63" t="n"/>
      <c r="R41" s="63" t="n"/>
      <c r="S41" s="64" t="n"/>
      <c r="T41" s="65" t="n"/>
      <c r="U41" s="65" t="n"/>
      <c r="V41" s="63" t="n"/>
      <c r="W41" s="63" t="n"/>
      <c r="X41" s="63" t="n"/>
      <c r="Y41" s="63" t="n"/>
      <c r="Z41" s="62">
        <f>IF(COUNT(V41:Y41)=0,"",ROUND(AVERAGE(V41:Y41),1))</f>
        <v/>
      </c>
      <c r="AA41" s="62">
        <f>IF(COUNT(Q41:R41)=0,"",ROUND(AVERAGE(Q41:R41),1))</f>
        <v/>
      </c>
      <c r="AB41" s="62">
        <f>IF(AND(Z41="",AA41=""),"",ROUND(IFERROR(Z41,0)*0.6+IFERROR(AA41,0)*0.4,1))</f>
        <v/>
      </c>
      <c r="AC41" s="66" t="n"/>
    </row>
    <row r="42" ht="48" customHeight="1" s="45">
      <c r="A42" s="54" t="n">
        <v>41</v>
      </c>
      <c r="B42" s="54" t="inlineStr">
        <is>
          <t>CRWV</t>
        </is>
      </c>
      <c r="C42" s="55" t="inlineStr">
        <is>
          <t>CoreWeave</t>
        </is>
      </c>
      <c r="D42" s="75" t="inlineStr">
        <is>
          <t>L8·云·算力工厂</t>
        </is>
      </c>
      <c r="E42" s="55" t="inlineStr">
        <is>
          <t>Neocloud GPU 出租</t>
        </is>
      </c>
      <c r="F42" s="57" t="inlineStr">
        <is>
          <t>龙头</t>
        </is>
      </c>
      <c r="G42" s="58" t="inlineStr">
        <is>
          <t>★★★★★</t>
        </is>
      </c>
      <c r="H42" s="59" t="inlineStr">
        <is>
          <t>题材交易</t>
        </is>
      </c>
      <c r="I42" s="55" t="inlineStr">
        <is>
          <t>Neocloud 龙头；MSFT/Meta 长协客户</t>
        </is>
      </c>
      <c r="J42" s="60" t="inlineStr">
        <is>
          <t>新长协订单；上市后业绩</t>
        </is>
      </c>
      <c r="K42" s="55" t="inlineStr">
        <is>
          <t>—</t>
        </is>
      </c>
      <c r="L42" s="60" t="inlineStr">
        <is>
          <t>高杠杆+客户集中</t>
        </is>
      </c>
      <c r="M42" s="61" t="n"/>
      <c r="N42" s="61" t="n"/>
      <c r="O42" s="61" t="n"/>
      <c r="P42" s="62">
        <f>IF(N42="","",IFERROR((M42-N42)/N42,""))</f>
        <v/>
      </c>
      <c r="Q42" s="63" t="n"/>
      <c r="R42" s="63" t="n"/>
      <c r="S42" s="64" t="n"/>
      <c r="T42" s="65" t="n"/>
      <c r="U42" s="65" t="n"/>
      <c r="V42" s="63" t="n"/>
      <c r="W42" s="63" t="n"/>
      <c r="X42" s="63" t="n"/>
      <c r="Y42" s="63" t="n"/>
      <c r="Z42" s="62">
        <f>IF(COUNT(V42:Y42)=0,"",ROUND(AVERAGE(V42:Y42),1))</f>
        <v/>
      </c>
      <c r="AA42" s="62">
        <f>IF(COUNT(Q42:R42)=0,"",ROUND(AVERAGE(Q42:R42),1))</f>
        <v/>
      </c>
      <c r="AB42" s="62">
        <f>IF(AND(Z42="",AA42=""),"",ROUND(IFERROR(Z42,0)*0.6+IFERROR(AA42,0)*0.4,1))</f>
        <v/>
      </c>
      <c r="AC42" s="66" t="n"/>
    </row>
    <row r="43" ht="48" customHeight="1" s="45">
      <c r="A43" s="54" t="n">
        <v>42</v>
      </c>
      <c r="B43" s="54" t="inlineStr">
        <is>
          <t>IREN</t>
        </is>
      </c>
      <c r="C43" s="55" t="inlineStr">
        <is>
          <t>Iris Energy</t>
        </is>
      </c>
      <c r="D43" s="75" t="inlineStr">
        <is>
          <t>L8·云·算力工厂</t>
        </is>
      </c>
      <c r="E43" s="60" t="inlineStr">
        <is>
          <t>矿改 AI 算力</t>
        </is>
      </c>
      <c r="F43" s="67" t="inlineStr">
        <is>
          <t>二线</t>
        </is>
      </c>
      <c r="G43" s="58" t="inlineStr">
        <is>
          <t>★★★★★</t>
        </is>
      </c>
      <c r="H43" s="59" t="inlineStr">
        <is>
          <t>题材交易</t>
        </is>
      </c>
      <c r="I43" s="60" t="inlineStr">
        <is>
          <t>矿场转型 AI 托管；电力资源稀缺</t>
        </is>
      </c>
      <c r="J43" s="55" t="inlineStr">
        <is>
          <t>AI 业务营收占比</t>
        </is>
      </c>
      <c r="K43" s="55" t="inlineStr">
        <is>
          <t>—</t>
        </is>
      </c>
      <c r="L43" s="60" t="inlineStr">
        <is>
          <t>转型节奏</t>
        </is>
      </c>
      <c r="M43" s="61" t="n"/>
      <c r="N43" s="61" t="n"/>
      <c r="O43" s="61" t="n"/>
      <c r="P43" s="62">
        <f>IF(N43="","",IFERROR((M43-N43)/N43,""))</f>
        <v/>
      </c>
      <c r="Q43" s="63" t="n"/>
      <c r="R43" s="63" t="n"/>
      <c r="S43" s="64" t="n"/>
      <c r="T43" s="65" t="n"/>
      <c r="U43" s="65" t="n"/>
      <c r="V43" s="63" t="n"/>
      <c r="W43" s="63" t="n"/>
      <c r="X43" s="63" t="n"/>
      <c r="Y43" s="63" t="n"/>
      <c r="Z43" s="62">
        <f>IF(COUNT(V43:Y43)=0,"",ROUND(AVERAGE(V43:Y43),1))</f>
        <v/>
      </c>
      <c r="AA43" s="62">
        <f>IF(COUNT(Q43:R43)=0,"",ROUND(AVERAGE(Q43:R43),1))</f>
        <v/>
      </c>
      <c r="AB43" s="62">
        <f>IF(AND(Z43="",AA43=""),"",ROUND(IFERROR(Z43,0)*0.6+IFERROR(AA43,0)*0.4,1))</f>
        <v/>
      </c>
      <c r="AC43" s="66" t="n"/>
    </row>
    <row r="44" ht="48" customHeight="1" s="45">
      <c r="A44" s="54" t="n">
        <v>43</v>
      </c>
      <c r="B44" s="54" t="inlineStr">
        <is>
          <t>NBIS</t>
        </is>
      </c>
      <c r="C44" s="55" t="inlineStr">
        <is>
          <t>Nebius Group</t>
        </is>
      </c>
      <c r="D44" s="75" t="inlineStr">
        <is>
          <t>L8·云·算力工厂</t>
        </is>
      </c>
      <c r="E44" s="60" t="inlineStr">
        <is>
          <t>欧洲 Neocloud</t>
        </is>
      </c>
      <c r="F44" s="67" t="inlineStr">
        <is>
          <t>二线</t>
        </is>
      </c>
      <c r="G44" s="58" t="inlineStr">
        <is>
          <t>★★★★★</t>
        </is>
      </c>
      <c r="H44" s="59" t="inlineStr">
        <is>
          <t>题材交易</t>
        </is>
      </c>
      <c r="I44" s="60" t="inlineStr">
        <is>
          <t>欧洲 Neocloud；NVDA 入股</t>
        </is>
      </c>
      <c r="J44" s="60" t="inlineStr">
        <is>
          <t>客户落地；ARR 增速</t>
        </is>
      </c>
      <c r="K44" s="55" t="inlineStr">
        <is>
          <t>—</t>
        </is>
      </c>
      <c r="L44" s="60" t="inlineStr">
        <is>
          <t>竞争激烈</t>
        </is>
      </c>
      <c r="M44" s="61" t="n"/>
      <c r="N44" s="61" t="n"/>
      <c r="O44" s="61" t="n"/>
      <c r="P44" s="62">
        <f>IF(N44="","",IFERROR((M44-N44)/N44,""))</f>
        <v/>
      </c>
      <c r="Q44" s="63" t="n"/>
      <c r="R44" s="63" t="n"/>
      <c r="S44" s="64" t="n"/>
      <c r="T44" s="65" t="n"/>
      <c r="U44" s="65" t="n"/>
      <c r="V44" s="63" t="n"/>
      <c r="W44" s="63" t="n"/>
      <c r="X44" s="63" t="n"/>
      <c r="Y44" s="63" t="n"/>
      <c r="Z44" s="62">
        <f>IF(COUNT(V44:Y44)=0,"",ROUND(AVERAGE(V44:Y44),1))</f>
        <v/>
      </c>
      <c r="AA44" s="62">
        <f>IF(COUNT(Q44:R44)=0,"",ROUND(AVERAGE(Q44:R44),1))</f>
        <v/>
      </c>
      <c r="AB44" s="62">
        <f>IF(AND(Z44="",AA44=""),"",ROUND(IFERROR(Z44,0)*0.6+IFERROR(AA44,0)*0.4,1))</f>
        <v/>
      </c>
      <c r="AC44" s="66" t="n"/>
    </row>
    <row r="45" ht="48" customHeight="1" s="45">
      <c r="A45" s="54" t="n">
        <v>44</v>
      </c>
      <c r="B45" s="54" t="inlineStr">
        <is>
          <t>APLD</t>
        </is>
      </c>
      <c r="C45" s="55" t="inlineStr">
        <is>
          <t>Applied Digital</t>
        </is>
      </c>
      <c r="D45" s="75" t="inlineStr">
        <is>
          <t>L8·云·算力工厂</t>
        </is>
      </c>
      <c r="E45" s="55" t="inlineStr">
        <is>
          <t>HPC 托管+AI IDC</t>
        </is>
      </c>
      <c r="F45" s="67" t="inlineStr">
        <is>
          <t>二线</t>
        </is>
      </c>
      <c r="G45" s="58" t="inlineStr">
        <is>
          <t>★★★★★</t>
        </is>
      </c>
      <c r="H45" s="59" t="inlineStr">
        <is>
          <t>题材交易</t>
        </is>
      </c>
      <c r="I45" s="60" t="inlineStr">
        <is>
          <t>长租客户+北达科他电力资源</t>
        </is>
      </c>
      <c r="J45" s="60" t="inlineStr">
        <is>
          <t>长租客户兑现</t>
        </is>
      </c>
      <c r="K45" s="55" t="inlineStr">
        <is>
          <t>—</t>
        </is>
      </c>
      <c r="L45" s="60" t="inlineStr">
        <is>
          <t>高杠杆</t>
        </is>
      </c>
      <c r="M45" s="61" t="n"/>
      <c r="N45" s="61" t="n"/>
      <c r="O45" s="61" t="n"/>
      <c r="P45" s="62">
        <f>IF(N45="","",IFERROR((M45-N45)/N45,""))</f>
        <v/>
      </c>
      <c r="Q45" s="63" t="n"/>
      <c r="R45" s="63" t="n"/>
      <c r="S45" s="64" t="n"/>
      <c r="T45" s="65" t="n"/>
      <c r="U45" s="65" t="n"/>
      <c r="V45" s="63" t="n"/>
      <c r="W45" s="63" t="n"/>
      <c r="X45" s="63" t="n"/>
      <c r="Y45" s="63" t="n"/>
      <c r="Z45" s="62">
        <f>IF(COUNT(V45:Y45)=0,"",ROUND(AVERAGE(V45:Y45),1))</f>
        <v/>
      </c>
      <c r="AA45" s="62">
        <f>IF(COUNT(Q45:R45)=0,"",ROUND(AVERAGE(Q45:R45),1))</f>
        <v/>
      </c>
      <c r="AB45" s="62">
        <f>IF(AND(Z45="",AA45=""),"",ROUND(IFERROR(Z45,0)*0.6+IFERROR(AA45,0)*0.4,1))</f>
        <v/>
      </c>
      <c r="AC45" s="66" t="n"/>
    </row>
    <row r="46" ht="48" customHeight="1" s="45">
      <c r="A46" s="54" t="n">
        <v>45</v>
      </c>
      <c r="B46" s="54" t="inlineStr">
        <is>
          <t>WULF</t>
        </is>
      </c>
      <c r="C46" s="55" t="inlineStr">
        <is>
          <t>TeraWulf</t>
        </is>
      </c>
      <c r="D46" s="75" t="inlineStr">
        <is>
          <t>L8·云·算力工厂</t>
        </is>
      </c>
      <c r="E46" s="60" t="inlineStr">
        <is>
          <t>矿改 HPC</t>
        </is>
      </c>
      <c r="F46" s="73" t="inlineStr">
        <is>
          <t>概念</t>
        </is>
      </c>
      <c r="G46" s="58" t="inlineStr">
        <is>
          <t>★★★★☆</t>
        </is>
      </c>
      <c r="H46" s="59" t="inlineStr">
        <is>
          <t>题材交易</t>
        </is>
      </c>
      <c r="I46" s="60" t="inlineStr">
        <is>
          <t>纽约低成本电力+核电资源附近</t>
        </is>
      </c>
      <c r="J46" s="55" t="inlineStr">
        <is>
          <t>HPC 客户官宣</t>
        </is>
      </c>
      <c r="K46" s="55" t="inlineStr">
        <is>
          <t>—</t>
        </is>
      </c>
      <c r="L46" s="60" t="inlineStr">
        <is>
          <t>转型不确定</t>
        </is>
      </c>
      <c r="M46" s="61" t="n"/>
      <c r="N46" s="61" t="n"/>
      <c r="O46" s="61" t="n"/>
      <c r="P46" s="62">
        <f>IF(N46="","",IFERROR((M46-N46)/N46,""))</f>
        <v/>
      </c>
      <c r="Q46" s="63" t="n"/>
      <c r="R46" s="63" t="n"/>
      <c r="S46" s="64" t="n"/>
      <c r="T46" s="65" t="n"/>
      <c r="U46" s="65" t="n"/>
      <c r="V46" s="63" t="n"/>
      <c r="W46" s="63" t="n"/>
      <c r="X46" s="63" t="n"/>
      <c r="Y46" s="63" t="n"/>
      <c r="Z46" s="62">
        <f>IF(COUNT(V46:Y46)=0,"",ROUND(AVERAGE(V46:Y46),1))</f>
        <v/>
      </c>
      <c r="AA46" s="62">
        <f>IF(COUNT(Q46:R46)=0,"",ROUND(AVERAGE(Q46:R46),1))</f>
        <v/>
      </c>
      <c r="AB46" s="62">
        <f>IF(AND(Z46="",AA46=""),"",ROUND(IFERROR(Z46,0)*0.6+IFERROR(AA46,0)*0.4,1))</f>
        <v/>
      </c>
      <c r="AC46" s="66" t="n"/>
    </row>
    <row r="47" ht="48" customHeight="1" s="45">
      <c r="A47" s="54" t="n">
        <v>46</v>
      </c>
      <c r="B47" s="54" t="inlineStr">
        <is>
          <t>HUT</t>
        </is>
      </c>
      <c r="C47" s="55" t="inlineStr">
        <is>
          <t>Hut 8</t>
        </is>
      </c>
      <c r="D47" s="75" t="inlineStr">
        <is>
          <t>L8·云·算力工厂</t>
        </is>
      </c>
      <c r="E47" s="60" t="inlineStr">
        <is>
          <t>矿改+HPC</t>
        </is>
      </c>
      <c r="F47" s="73" t="inlineStr">
        <is>
          <t>概念</t>
        </is>
      </c>
      <c r="G47" s="58" t="inlineStr">
        <is>
          <t>★★★★☆</t>
        </is>
      </c>
      <c r="H47" s="59" t="inlineStr">
        <is>
          <t>题材交易</t>
        </is>
      </c>
      <c r="I47" s="60" t="inlineStr">
        <is>
          <t>与大客户合资 HPC；电力资产丰富</t>
        </is>
      </c>
      <c r="J47" s="55" t="inlineStr">
        <is>
          <t>HPC 营收落地</t>
        </is>
      </c>
      <c r="K47" s="55" t="inlineStr">
        <is>
          <t>—</t>
        </is>
      </c>
      <c r="L47" s="60" t="inlineStr">
        <is>
          <t>转型不确定</t>
        </is>
      </c>
      <c r="M47" s="61" t="n"/>
      <c r="N47" s="61" t="n"/>
      <c r="O47" s="61" t="n"/>
      <c r="P47" s="62">
        <f>IF(N47="","",IFERROR((M47-N47)/N47,""))</f>
        <v/>
      </c>
      <c r="Q47" s="63" t="n"/>
      <c r="R47" s="63" t="n"/>
      <c r="S47" s="64" t="n"/>
      <c r="T47" s="65" t="n"/>
      <c r="U47" s="65" t="n"/>
      <c r="V47" s="63" t="n"/>
      <c r="W47" s="63" t="n"/>
      <c r="X47" s="63" t="n"/>
      <c r="Y47" s="63" t="n"/>
      <c r="Z47" s="62">
        <f>IF(COUNT(V47:Y47)=0,"",ROUND(AVERAGE(V47:Y47),1))</f>
        <v/>
      </c>
      <c r="AA47" s="62">
        <f>IF(COUNT(Q47:R47)=0,"",ROUND(AVERAGE(Q47:R47),1))</f>
        <v/>
      </c>
      <c r="AB47" s="62">
        <f>IF(AND(Z47="",AA47=""),"",ROUND(IFERROR(Z47,0)*0.6+IFERROR(AA47,0)*0.4,1))</f>
        <v/>
      </c>
      <c r="AC47" s="66" t="n"/>
    </row>
    <row r="48" ht="48" customHeight="1" s="45">
      <c r="A48" s="54" t="n">
        <v>47</v>
      </c>
      <c r="B48" s="54" t="inlineStr">
        <is>
          <t>CIFR</t>
        </is>
      </c>
      <c r="C48" s="55" t="inlineStr">
        <is>
          <t>Cipher Mining</t>
        </is>
      </c>
      <c r="D48" s="75" t="inlineStr">
        <is>
          <t>L8·云·算力工厂</t>
        </is>
      </c>
      <c r="E48" s="60" t="inlineStr">
        <is>
          <t>矿改 AI 算力</t>
        </is>
      </c>
      <c r="F48" s="73" t="inlineStr">
        <is>
          <t>概念</t>
        </is>
      </c>
      <c r="G48" s="58" t="inlineStr">
        <is>
          <t>★★★★☆</t>
        </is>
      </c>
      <c r="H48" s="59" t="inlineStr">
        <is>
          <t>题材交易</t>
        </is>
      </c>
      <c r="I48" s="60" t="inlineStr">
        <is>
          <t>得州低电价+AI 转型规划</t>
        </is>
      </c>
      <c r="J48" s="60" t="inlineStr">
        <is>
          <t>首个 AI 客户</t>
        </is>
      </c>
      <c r="K48" s="55" t="inlineStr">
        <is>
          <t>—</t>
        </is>
      </c>
      <c r="L48" s="60" t="inlineStr">
        <is>
          <t>转型未兑现</t>
        </is>
      </c>
      <c r="M48" s="61" t="n"/>
      <c r="N48" s="61" t="n"/>
      <c r="O48" s="61" t="n"/>
      <c r="P48" s="62">
        <f>IF(N48="","",IFERROR((M48-N48)/N48,""))</f>
        <v/>
      </c>
      <c r="Q48" s="63" t="n"/>
      <c r="R48" s="63" t="n"/>
      <c r="S48" s="64" t="n"/>
      <c r="T48" s="65" t="n"/>
      <c r="U48" s="65" t="n"/>
      <c r="V48" s="63" t="n"/>
      <c r="W48" s="63" t="n"/>
      <c r="X48" s="63" t="n"/>
      <c r="Y48" s="63" t="n"/>
      <c r="Z48" s="62">
        <f>IF(COUNT(V48:Y48)=0,"",ROUND(AVERAGE(V48:Y48),1))</f>
        <v/>
      </c>
      <c r="AA48" s="62">
        <f>IF(COUNT(Q48:R48)=0,"",ROUND(AVERAGE(Q48:R48),1))</f>
        <v/>
      </c>
      <c r="AB48" s="62">
        <f>IF(AND(Z48="",AA48=""),"",ROUND(IFERROR(Z48,0)*0.6+IFERROR(AA48,0)*0.4,1))</f>
        <v/>
      </c>
      <c r="AC48" s="66" t="n"/>
    </row>
    <row r="49" ht="48" customHeight="1" s="45">
      <c r="A49" s="54" t="n">
        <v>48</v>
      </c>
      <c r="B49" s="54" t="inlineStr">
        <is>
          <t>EQIX</t>
        </is>
      </c>
      <c r="C49" s="55" t="inlineStr">
        <is>
          <t>Equinix</t>
        </is>
      </c>
      <c r="D49" s="75" t="inlineStr">
        <is>
          <t>L8·云·算力工厂</t>
        </is>
      </c>
      <c r="E49" s="60" t="inlineStr">
        <is>
          <t>全球互联 IDC REIT</t>
        </is>
      </c>
      <c r="F49" s="57" t="inlineStr">
        <is>
          <t>龙头</t>
        </is>
      </c>
      <c r="G49" s="58" t="inlineStr">
        <is>
          <t>★★★☆☆</t>
        </is>
      </c>
      <c r="H49" s="59" t="inlineStr">
        <is>
          <t>核心配置</t>
        </is>
      </c>
      <c r="I49" s="60" t="inlineStr">
        <is>
          <t>互联溢价+全球网格效应</t>
        </is>
      </c>
      <c r="J49" s="55" t="inlineStr">
        <is>
          <t>AI 互联订单</t>
        </is>
      </c>
      <c r="K49" s="55" t="inlineStr">
        <is>
          <t>—</t>
        </is>
      </c>
      <c r="L49" s="55" t="inlineStr">
        <is>
          <t>REIT 利率敏感</t>
        </is>
      </c>
      <c r="M49" s="61" t="n"/>
      <c r="N49" s="61" t="n"/>
      <c r="O49" s="61" t="n"/>
      <c r="P49" s="62">
        <f>IF(N49="","",IFERROR((M49-N49)/N49,""))</f>
        <v/>
      </c>
      <c r="Q49" s="63" t="n"/>
      <c r="R49" s="63" t="n"/>
      <c r="S49" s="64" t="n"/>
      <c r="T49" s="65" t="n"/>
      <c r="U49" s="65" t="n"/>
      <c r="V49" s="63" t="n"/>
      <c r="W49" s="63" t="n"/>
      <c r="X49" s="63" t="n"/>
      <c r="Y49" s="63" t="n"/>
      <c r="Z49" s="62">
        <f>IF(COUNT(V49:Y49)=0,"",ROUND(AVERAGE(V49:Y49),1))</f>
        <v/>
      </c>
      <c r="AA49" s="62">
        <f>IF(COUNT(Q49:R49)=0,"",ROUND(AVERAGE(Q49:R49),1))</f>
        <v/>
      </c>
      <c r="AB49" s="62">
        <f>IF(AND(Z49="",AA49=""),"",ROUND(IFERROR(Z49,0)*0.6+IFERROR(AA49,0)*0.4,1))</f>
        <v/>
      </c>
      <c r="AC49" s="66" t="n"/>
    </row>
    <row r="50" ht="48" customHeight="1" s="45">
      <c r="A50" s="54" t="n">
        <v>49</v>
      </c>
      <c r="B50" s="54" t="inlineStr">
        <is>
          <t>DLR</t>
        </is>
      </c>
      <c r="C50" s="55" t="inlineStr">
        <is>
          <t>Digital Realty</t>
        </is>
      </c>
      <c r="D50" s="75" t="inlineStr">
        <is>
          <t>L8·云·算力工厂</t>
        </is>
      </c>
      <c r="E50" s="60" t="inlineStr">
        <is>
          <t>大型 IDC REIT</t>
        </is>
      </c>
      <c r="F50" s="57" t="inlineStr">
        <is>
          <t>龙头</t>
        </is>
      </c>
      <c r="G50" s="58" t="inlineStr">
        <is>
          <t>★★★☆☆</t>
        </is>
      </c>
      <c r="H50" s="59" t="inlineStr">
        <is>
          <t>核心配置</t>
        </is>
      </c>
      <c r="I50" s="55" t="inlineStr">
        <is>
          <t>hyperscaler 大单租赁；电力卡位</t>
        </is>
      </c>
      <c r="J50" s="60" t="inlineStr">
        <is>
          <t>新签 MW 量</t>
        </is>
      </c>
      <c r="K50" s="55" t="inlineStr">
        <is>
          <t>—</t>
        </is>
      </c>
      <c r="L50" s="55" t="inlineStr">
        <is>
          <t>REIT 利率敏感</t>
        </is>
      </c>
      <c r="M50" s="61" t="n"/>
      <c r="N50" s="61" t="n"/>
      <c r="O50" s="61" t="n"/>
      <c r="P50" s="62">
        <f>IF(N50="","",IFERROR((M50-N50)/N50,""))</f>
        <v/>
      </c>
      <c r="Q50" s="63" t="n"/>
      <c r="R50" s="63" t="n"/>
      <c r="S50" s="64" t="n"/>
      <c r="T50" s="65" t="n"/>
      <c r="U50" s="65" t="n"/>
      <c r="V50" s="63" t="n"/>
      <c r="W50" s="63" t="n"/>
      <c r="X50" s="63" t="n"/>
      <c r="Y50" s="63" t="n"/>
      <c r="Z50" s="62">
        <f>IF(COUNT(V50:Y50)=0,"",ROUND(AVERAGE(V50:Y50),1))</f>
        <v/>
      </c>
      <c r="AA50" s="62">
        <f>IF(COUNT(Q50:R50)=0,"",ROUND(AVERAGE(Q50:R50),1))</f>
        <v/>
      </c>
      <c r="AB50" s="62">
        <f>IF(AND(Z50="",AA50=""),"",ROUND(IFERROR(Z50,0)*0.6+IFERROR(AA50,0)*0.4,1))</f>
        <v/>
      </c>
      <c r="AC50" s="66" t="n"/>
    </row>
    <row r="51" ht="48" customHeight="1" s="45">
      <c r="A51" s="54" t="n">
        <v>50</v>
      </c>
      <c r="B51" s="54" t="inlineStr">
        <is>
          <t>TSM</t>
        </is>
      </c>
      <c r="C51" s="55" t="inlineStr">
        <is>
          <t>TSMC ADR</t>
        </is>
      </c>
      <c r="D51" s="76" t="inlineStr">
        <is>
          <t>L9·半导体底座</t>
        </is>
      </c>
      <c r="E51" s="60" t="inlineStr">
        <is>
          <t>先进制程+CoWoS</t>
        </is>
      </c>
      <c r="F51" s="57" t="inlineStr">
        <is>
          <t>龙头</t>
        </is>
      </c>
      <c r="G51" s="58" t="inlineStr">
        <is>
          <t>★★★★☆</t>
        </is>
      </c>
      <c r="H51" s="59" t="inlineStr">
        <is>
          <t>核心配置</t>
        </is>
      </c>
      <c r="I51" s="55" t="inlineStr">
        <is>
          <t>3nm/2nm 涨价+CoWoS 先进封装产能瓶颈</t>
        </is>
      </c>
      <c r="J51" s="55" t="inlineStr">
        <is>
          <t>CoWoS 产能；2nm 客户</t>
        </is>
      </c>
      <c r="K51" s="60" t="inlineStr">
        <is>
          <t>中芯国际</t>
        </is>
      </c>
      <c r="L51" s="60" t="inlineStr">
        <is>
          <t>地缘+集中度</t>
        </is>
      </c>
      <c r="M51" s="61" t="n"/>
      <c r="N51" s="61" t="n"/>
      <c r="O51" s="61" t="n"/>
      <c r="P51" s="62">
        <f>IF(N51="","",IFERROR((M51-N51)/N51,""))</f>
        <v/>
      </c>
      <c r="Q51" s="63" t="n"/>
      <c r="R51" s="63" t="n"/>
      <c r="S51" s="64" t="n"/>
      <c r="T51" s="65" t="n"/>
      <c r="U51" s="65" t="n"/>
      <c r="V51" s="63" t="n"/>
      <c r="W51" s="63" t="n"/>
      <c r="X51" s="63" t="n"/>
      <c r="Y51" s="63" t="n"/>
      <c r="Z51" s="62">
        <f>IF(COUNT(V51:Y51)=0,"",ROUND(AVERAGE(V51:Y51),1))</f>
        <v/>
      </c>
      <c r="AA51" s="62">
        <f>IF(COUNT(Q51:R51)=0,"",ROUND(AVERAGE(Q51:R51),1))</f>
        <v/>
      </c>
      <c r="AB51" s="62">
        <f>IF(AND(Z51="",AA51=""),"",ROUND(IFERROR(Z51,0)*0.6+IFERROR(AA51,0)*0.4,1))</f>
        <v/>
      </c>
      <c r="AC51" s="66" t="n"/>
    </row>
    <row r="52" ht="48" customHeight="1" s="45">
      <c r="A52" s="54" t="n">
        <v>51</v>
      </c>
      <c r="B52" s="54" t="inlineStr">
        <is>
          <t>ASML</t>
        </is>
      </c>
      <c r="C52" s="55" t="inlineStr">
        <is>
          <t>ASML</t>
        </is>
      </c>
      <c r="D52" s="76" t="inlineStr">
        <is>
          <t>L9·半导体底座</t>
        </is>
      </c>
      <c r="E52" s="55" t="inlineStr">
        <is>
          <t>EUV/High-NA</t>
        </is>
      </c>
      <c r="F52" s="57" t="inlineStr">
        <is>
          <t>龙头</t>
        </is>
      </c>
      <c r="G52" s="58" t="inlineStr">
        <is>
          <t>★★★★☆</t>
        </is>
      </c>
      <c r="H52" s="59" t="inlineStr">
        <is>
          <t>核心配置</t>
        </is>
      </c>
      <c r="I52" s="55" t="inlineStr">
        <is>
          <t>EUV 独家+High-NA 出货</t>
        </is>
      </c>
      <c r="J52" s="55" t="inlineStr">
        <is>
          <t>High-NA 订单；中国出货</t>
        </is>
      </c>
      <c r="K52" s="55" t="inlineStr">
        <is>
          <t>—</t>
        </is>
      </c>
      <c r="L52" s="60" t="inlineStr">
        <is>
          <t>出口管制</t>
        </is>
      </c>
      <c r="M52" s="61" t="n"/>
      <c r="N52" s="61" t="n"/>
      <c r="O52" s="61" t="n"/>
      <c r="P52" s="62">
        <f>IF(N52="","",IFERROR((M52-N52)/N52,""))</f>
        <v/>
      </c>
      <c r="Q52" s="63" t="n"/>
      <c r="R52" s="63" t="n"/>
      <c r="S52" s="64" t="n"/>
      <c r="T52" s="65" t="n"/>
      <c r="U52" s="65" t="n"/>
      <c r="V52" s="63" t="n"/>
      <c r="W52" s="63" t="n"/>
      <c r="X52" s="63" t="n"/>
      <c r="Y52" s="63" t="n"/>
      <c r="Z52" s="62">
        <f>IF(COUNT(V52:Y52)=0,"",ROUND(AVERAGE(V52:Y52),1))</f>
        <v/>
      </c>
      <c r="AA52" s="62">
        <f>IF(COUNT(Q52:R52)=0,"",ROUND(AVERAGE(Q52:R52),1))</f>
        <v/>
      </c>
      <c r="AB52" s="62">
        <f>IF(AND(Z52="",AA52=""),"",ROUND(IFERROR(Z52,0)*0.6+IFERROR(AA52,0)*0.4,1))</f>
        <v/>
      </c>
      <c r="AC52" s="66" t="n"/>
    </row>
    <row r="53" ht="48" customHeight="1" s="45">
      <c r="A53" s="54" t="n">
        <v>52</v>
      </c>
      <c r="B53" s="54" t="inlineStr">
        <is>
          <t>AMAT</t>
        </is>
      </c>
      <c r="C53" s="55" t="inlineStr">
        <is>
          <t>Applied Materials</t>
        </is>
      </c>
      <c r="D53" s="76" t="inlineStr">
        <is>
          <t>L9·半导体底座</t>
        </is>
      </c>
      <c r="E53" s="60" t="inlineStr">
        <is>
          <t>沉积+CMP+先进封装</t>
        </is>
      </c>
      <c r="F53" s="57" t="inlineStr">
        <is>
          <t>龙头</t>
        </is>
      </c>
      <c r="G53" s="58" t="inlineStr">
        <is>
          <t>★★★★☆</t>
        </is>
      </c>
      <c r="H53" s="59" t="inlineStr">
        <is>
          <t>核心配置</t>
        </is>
      </c>
      <c r="I53" s="60" t="inlineStr">
        <is>
          <t>先进封装设备+HBM TSV+前驱体</t>
        </is>
      </c>
      <c r="J53" s="60" t="inlineStr">
        <is>
          <t>先进封装订单</t>
        </is>
      </c>
      <c r="K53" s="60" t="inlineStr">
        <is>
          <t>北方华创</t>
        </is>
      </c>
      <c r="L53" s="60" t="inlineStr">
        <is>
          <t>中国出口管制</t>
        </is>
      </c>
      <c r="M53" s="61" t="n"/>
      <c r="N53" s="61" t="n"/>
      <c r="O53" s="61" t="n"/>
      <c r="P53" s="62">
        <f>IF(N53="","",IFERROR((M53-N53)/N53,""))</f>
        <v/>
      </c>
      <c r="Q53" s="63" t="n"/>
      <c r="R53" s="63" t="n"/>
      <c r="S53" s="64" t="n"/>
      <c r="T53" s="65" t="n"/>
      <c r="U53" s="65" t="n"/>
      <c r="V53" s="63" t="n"/>
      <c r="W53" s="63" t="n"/>
      <c r="X53" s="63" t="n"/>
      <c r="Y53" s="63" t="n"/>
      <c r="Z53" s="62">
        <f>IF(COUNT(V53:Y53)=0,"",ROUND(AVERAGE(V53:Y53),1))</f>
        <v/>
      </c>
      <c r="AA53" s="62">
        <f>IF(COUNT(Q53:R53)=0,"",ROUND(AVERAGE(Q53:R53),1))</f>
        <v/>
      </c>
      <c r="AB53" s="62">
        <f>IF(AND(Z53="",AA53=""),"",ROUND(IFERROR(Z53,0)*0.6+IFERROR(AA53,0)*0.4,1))</f>
        <v/>
      </c>
      <c r="AC53" s="66" t="n"/>
    </row>
    <row r="54" ht="48" customHeight="1" s="45">
      <c r="A54" s="54" t="n">
        <v>53</v>
      </c>
      <c r="B54" s="54" t="inlineStr">
        <is>
          <t>LRCX</t>
        </is>
      </c>
      <c r="C54" s="55" t="inlineStr">
        <is>
          <t>Lam Research</t>
        </is>
      </c>
      <c r="D54" s="76" t="inlineStr">
        <is>
          <t>L9·半导体底座</t>
        </is>
      </c>
      <c r="E54" s="60" t="inlineStr">
        <is>
          <t>刻蚀+3D NAND</t>
        </is>
      </c>
      <c r="F54" s="57" t="inlineStr">
        <is>
          <t>龙头</t>
        </is>
      </c>
      <c r="G54" s="58" t="inlineStr">
        <is>
          <t>★★★★☆</t>
        </is>
      </c>
      <c r="H54" s="59" t="inlineStr">
        <is>
          <t>核心配置</t>
        </is>
      </c>
      <c r="I54" s="60" t="inlineStr">
        <is>
          <t>刻蚀龙头；HBM TSV+3D NAND 直接受益</t>
        </is>
      </c>
      <c r="J54" s="55" t="inlineStr">
        <is>
          <t>NAND 复苏；HBM TSV 设备</t>
        </is>
      </c>
      <c r="K54" s="55" t="inlineStr">
        <is>
          <t>—</t>
        </is>
      </c>
      <c r="L54" s="60" t="inlineStr">
        <is>
          <t>中国占比</t>
        </is>
      </c>
      <c r="M54" s="61" t="n"/>
      <c r="N54" s="61" t="n"/>
      <c r="O54" s="61" t="n"/>
      <c r="P54" s="62">
        <f>IF(N54="","",IFERROR((M54-N54)/N54,""))</f>
        <v/>
      </c>
      <c r="Q54" s="63" t="n"/>
      <c r="R54" s="63" t="n"/>
      <c r="S54" s="64" t="n"/>
      <c r="T54" s="65" t="n"/>
      <c r="U54" s="65" t="n"/>
      <c r="V54" s="63" t="n"/>
      <c r="W54" s="63" t="n"/>
      <c r="X54" s="63" t="n"/>
      <c r="Y54" s="63" t="n"/>
      <c r="Z54" s="62">
        <f>IF(COUNT(V54:Y54)=0,"",ROUND(AVERAGE(V54:Y54),1))</f>
        <v/>
      </c>
      <c r="AA54" s="62">
        <f>IF(COUNT(Q54:R54)=0,"",ROUND(AVERAGE(Q54:R54),1))</f>
        <v/>
      </c>
      <c r="AB54" s="62">
        <f>IF(AND(Z54="",AA54=""),"",ROUND(IFERROR(Z54,0)*0.6+IFERROR(AA54,0)*0.4,1))</f>
        <v/>
      </c>
      <c r="AC54" s="66" t="n"/>
    </row>
    <row r="55" ht="48" customHeight="1" s="45">
      <c r="A55" s="54" t="n">
        <v>54</v>
      </c>
      <c r="B55" s="54" t="inlineStr">
        <is>
          <t>KLAC</t>
        </is>
      </c>
      <c r="C55" s="55" t="inlineStr">
        <is>
          <t>KLA</t>
        </is>
      </c>
      <c r="D55" s="76" t="inlineStr">
        <is>
          <t>L9·半导体底座</t>
        </is>
      </c>
      <c r="E55" s="60" t="inlineStr">
        <is>
          <t>检测/量测</t>
        </is>
      </c>
      <c r="F55" s="57" t="inlineStr">
        <is>
          <t>龙头</t>
        </is>
      </c>
      <c r="G55" s="58" t="inlineStr">
        <is>
          <t>★★★★☆</t>
        </is>
      </c>
      <c r="H55" s="59" t="inlineStr">
        <is>
          <t>核心配置</t>
        </is>
      </c>
      <c r="I55" s="60" t="inlineStr">
        <is>
          <t>良率检测寡头；先进制程绑定</t>
        </is>
      </c>
      <c r="J55" s="60" t="inlineStr">
        <is>
          <t>先进节点检测占比</t>
        </is>
      </c>
      <c r="K55" s="55" t="inlineStr">
        <is>
          <t>—</t>
        </is>
      </c>
      <c r="L55" s="60" t="inlineStr">
        <is>
          <t>中国占比</t>
        </is>
      </c>
      <c r="M55" s="61" t="n"/>
      <c r="N55" s="61" t="n"/>
      <c r="O55" s="61" t="n"/>
      <c r="P55" s="62">
        <f>IF(N55="","",IFERROR((M55-N55)/N55,""))</f>
        <v/>
      </c>
      <c r="Q55" s="63" t="n"/>
      <c r="R55" s="63" t="n"/>
      <c r="S55" s="64" t="n"/>
      <c r="T55" s="65" t="n"/>
      <c r="U55" s="65" t="n"/>
      <c r="V55" s="63" t="n"/>
      <c r="W55" s="63" t="n"/>
      <c r="X55" s="63" t="n"/>
      <c r="Y55" s="63" t="n"/>
      <c r="Z55" s="62">
        <f>IF(COUNT(V55:Y55)=0,"",ROUND(AVERAGE(V55:Y55),1))</f>
        <v/>
      </c>
      <c r="AA55" s="62">
        <f>IF(COUNT(Q55:R55)=0,"",ROUND(AVERAGE(Q55:R55),1))</f>
        <v/>
      </c>
      <c r="AB55" s="62">
        <f>IF(AND(Z55="",AA55=""),"",ROUND(IFERROR(Z55,0)*0.6+IFERROR(AA55,0)*0.4,1))</f>
        <v/>
      </c>
      <c r="AC55" s="66" t="n"/>
    </row>
    <row r="56" ht="48" customHeight="1" s="45">
      <c r="A56" s="54" t="n">
        <v>55</v>
      </c>
      <c r="B56" s="54" t="inlineStr">
        <is>
          <t>ENTG</t>
        </is>
      </c>
      <c r="C56" s="55" t="inlineStr">
        <is>
          <t>Entegris</t>
        </is>
      </c>
      <c r="D56" s="76" t="inlineStr">
        <is>
          <t>L9·半导体底座</t>
        </is>
      </c>
      <c r="E56" s="60" t="inlineStr">
        <is>
          <t>材料+滤材</t>
        </is>
      </c>
      <c r="F56" s="67" t="inlineStr">
        <is>
          <t>二线</t>
        </is>
      </c>
      <c r="G56" s="58" t="inlineStr">
        <is>
          <t>★★★☆☆</t>
        </is>
      </c>
      <c r="H56" s="59" t="inlineStr">
        <is>
          <t>卫星</t>
        </is>
      </c>
      <c r="I56" s="60" t="inlineStr">
        <is>
          <t>前驱体+CMP 浆料+滤材；wafer count 杠杆</t>
        </is>
      </c>
      <c r="J56" s="60" t="inlineStr">
        <is>
          <t>出货与晶圆量同步</t>
        </is>
      </c>
      <c r="K56" s="55" t="inlineStr">
        <is>
          <t>—</t>
        </is>
      </c>
      <c r="L56" s="60" t="inlineStr">
        <is>
          <t>周期</t>
        </is>
      </c>
      <c r="M56" s="61" t="n"/>
      <c r="N56" s="61" t="n"/>
      <c r="O56" s="61" t="n"/>
      <c r="P56" s="62">
        <f>IF(N56="","",IFERROR((M56-N56)/N56,""))</f>
        <v/>
      </c>
      <c r="Q56" s="63" t="n"/>
      <c r="R56" s="63" t="n"/>
      <c r="S56" s="64" t="n"/>
      <c r="T56" s="65" t="n"/>
      <c r="U56" s="65" t="n"/>
      <c r="V56" s="63" t="n"/>
      <c r="W56" s="63" t="n"/>
      <c r="X56" s="63" t="n"/>
      <c r="Y56" s="63" t="n"/>
      <c r="Z56" s="62">
        <f>IF(COUNT(V56:Y56)=0,"",ROUND(AVERAGE(V56:Y56),1))</f>
        <v/>
      </c>
      <c r="AA56" s="62">
        <f>IF(COUNT(Q56:R56)=0,"",ROUND(AVERAGE(Q56:R56),1))</f>
        <v/>
      </c>
      <c r="AB56" s="62">
        <f>IF(AND(Z56="",AA56=""),"",ROUND(IFERROR(Z56,0)*0.6+IFERROR(AA56,0)*0.4,1))</f>
        <v/>
      </c>
      <c r="AC56" s="66" t="n"/>
    </row>
    <row r="57" ht="48" customHeight="1" s="45">
      <c r="A57" s="54" t="n">
        <v>56</v>
      </c>
      <c r="B57" s="54" t="inlineStr">
        <is>
          <t>ACMR</t>
        </is>
      </c>
      <c r="C57" s="55" t="inlineStr">
        <is>
          <t>ACM Research ADR</t>
        </is>
      </c>
      <c r="D57" s="76" t="inlineStr">
        <is>
          <t>L9·半导体底座</t>
        </is>
      </c>
      <c r="E57" s="60" t="inlineStr">
        <is>
          <t>清洗设备</t>
        </is>
      </c>
      <c r="F57" s="67" t="inlineStr">
        <is>
          <t>二线</t>
        </is>
      </c>
      <c r="G57" s="58" t="inlineStr">
        <is>
          <t>★★★☆☆</t>
        </is>
      </c>
      <c r="H57" s="59" t="inlineStr">
        <is>
          <t>题材交易</t>
        </is>
      </c>
      <c r="I57" s="60" t="inlineStr">
        <is>
          <t>中国国产替代龙头；清洗设备份额提升</t>
        </is>
      </c>
      <c r="J57" s="60" t="inlineStr">
        <is>
          <t>在手订单；国产替代节奏</t>
        </is>
      </c>
      <c r="K57" s="55" t="inlineStr">
        <is>
          <t>—</t>
        </is>
      </c>
      <c r="L57" s="55" t="inlineStr">
        <is>
          <t>ADR 地缘风险</t>
        </is>
      </c>
      <c r="M57" s="61" t="n"/>
      <c r="N57" s="61" t="n"/>
      <c r="O57" s="61" t="n"/>
      <c r="P57" s="62">
        <f>IF(N57="","",IFERROR((M57-N57)/N57,""))</f>
        <v/>
      </c>
      <c r="Q57" s="63" t="n"/>
      <c r="R57" s="63" t="n"/>
      <c r="S57" s="64" t="n"/>
      <c r="T57" s="65" t="n"/>
      <c r="U57" s="65" t="n"/>
      <c r="V57" s="63" t="n"/>
      <c r="W57" s="63" t="n"/>
      <c r="X57" s="63" t="n"/>
      <c r="Y57" s="63" t="n"/>
      <c r="Z57" s="62">
        <f>IF(COUNT(V57:Y57)=0,"",ROUND(AVERAGE(V57:Y57),1))</f>
        <v/>
      </c>
      <c r="AA57" s="62">
        <f>IF(COUNT(Q57:R57)=0,"",ROUND(AVERAGE(Q57:R57),1))</f>
        <v/>
      </c>
      <c r="AB57" s="62">
        <f>IF(AND(Z57="",AA57=""),"",ROUND(IFERROR(Z57,0)*0.6+IFERROR(AA57,0)*0.4,1))</f>
        <v/>
      </c>
      <c r="AC57" s="66" t="n"/>
    </row>
    <row r="58" ht="48" customHeight="1" s="45">
      <c r="A58" s="54" t="n">
        <v>57</v>
      </c>
      <c r="B58" s="54" t="inlineStr">
        <is>
          <t>ONTO</t>
        </is>
      </c>
      <c r="C58" s="55" t="inlineStr">
        <is>
          <t>Onto Innovation</t>
        </is>
      </c>
      <c r="D58" s="76" t="inlineStr">
        <is>
          <t>L9·半导体底座</t>
        </is>
      </c>
      <c r="E58" s="60" t="inlineStr">
        <is>
          <t>先进封装检测</t>
        </is>
      </c>
      <c r="F58" s="67" t="inlineStr">
        <is>
          <t>二线</t>
        </is>
      </c>
      <c r="G58" s="58" t="inlineStr">
        <is>
          <t>★★★★☆</t>
        </is>
      </c>
      <c r="H58" s="59" t="inlineStr">
        <is>
          <t>卫星</t>
        </is>
      </c>
      <c r="I58" s="55" t="inlineStr">
        <is>
          <t>HBM/CoWoS 检测受益；前道+后道双轮</t>
        </is>
      </c>
      <c r="J58" s="55" t="inlineStr">
        <is>
          <t>HBM 检测设备出货</t>
        </is>
      </c>
      <c r="K58" s="55" t="inlineStr">
        <is>
          <t>—</t>
        </is>
      </c>
      <c r="L58" s="60" t="inlineStr">
        <is>
          <t>周期</t>
        </is>
      </c>
      <c r="M58" s="61" t="n"/>
      <c r="N58" s="61" t="n"/>
      <c r="O58" s="61" t="n"/>
      <c r="P58" s="62">
        <f>IF(N58="","",IFERROR((M58-N58)/N58,""))</f>
        <v/>
      </c>
      <c r="Q58" s="63" t="n"/>
      <c r="R58" s="63" t="n"/>
      <c r="S58" s="64" t="n"/>
      <c r="T58" s="65" t="n"/>
      <c r="U58" s="65" t="n"/>
      <c r="V58" s="63" t="n"/>
      <c r="W58" s="63" t="n"/>
      <c r="X58" s="63" t="n"/>
      <c r="Y58" s="63" t="n"/>
      <c r="Z58" s="62">
        <f>IF(COUNT(V58:Y58)=0,"",ROUND(AVERAGE(V58:Y58),1))</f>
        <v/>
      </c>
      <c r="AA58" s="62">
        <f>IF(COUNT(Q58:R58)=0,"",ROUND(AVERAGE(Q58:R58),1))</f>
        <v/>
      </c>
      <c r="AB58" s="62">
        <f>IF(AND(Z58="",AA58=""),"",ROUND(IFERROR(Z58,0)*0.6+IFERROR(AA58,0)*0.4,1))</f>
        <v/>
      </c>
      <c r="AC58" s="66" t="n"/>
    </row>
    <row r="59" ht="48" customHeight="1" s="45">
      <c r="A59" s="54" t="n">
        <v>58</v>
      </c>
      <c r="B59" s="54" t="inlineStr">
        <is>
          <t>MKSI</t>
        </is>
      </c>
      <c r="C59" s="55" t="inlineStr">
        <is>
          <t>MKS Instruments</t>
        </is>
      </c>
      <c r="D59" s="76" t="inlineStr">
        <is>
          <t>L9·半导体底座</t>
        </is>
      </c>
      <c r="E59" s="60" t="inlineStr">
        <is>
          <t>真空+激光+电源</t>
        </is>
      </c>
      <c r="F59" s="67" t="inlineStr">
        <is>
          <t>二线</t>
        </is>
      </c>
      <c r="G59" s="58" t="inlineStr">
        <is>
          <t>★★★☆☆</t>
        </is>
      </c>
      <c r="H59" s="59" t="inlineStr">
        <is>
          <t>卫星</t>
        </is>
      </c>
      <c r="I59" s="60" t="inlineStr">
        <is>
          <t>设备子系统；半导体+先进封装双驱</t>
        </is>
      </c>
      <c r="J59" s="55" t="inlineStr">
        <is>
          <t>WFE 复苏</t>
        </is>
      </c>
      <c r="K59" s="55" t="inlineStr">
        <is>
          <t>—</t>
        </is>
      </c>
      <c r="L59" s="60" t="inlineStr">
        <is>
          <t>周期+杠杆</t>
        </is>
      </c>
      <c r="M59" s="61" t="n"/>
      <c r="N59" s="61" t="n"/>
      <c r="O59" s="61" t="n"/>
      <c r="P59" s="62">
        <f>IF(N59="","",IFERROR((M59-N59)/N59,""))</f>
        <v/>
      </c>
      <c r="Q59" s="63" t="n"/>
      <c r="R59" s="63" t="n"/>
      <c r="S59" s="64" t="n"/>
      <c r="T59" s="65" t="n"/>
      <c r="U59" s="65" t="n"/>
      <c r="V59" s="63" t="n"/>
      <c r="W59" s="63" t="n"/>
      <c r="X59" s="63" t="n"/>
      <c r="Y59" s="63" t="n"/>
      <c r="Z59" s="62">
        <f>IF(COUNT(V59:Y59)=0,"",ROUND(AVERAGE(V59:Y59),1))</f>
        <v/>
      </c>
      <c r="AA59" s="62">
        <f>IF(COUNT(Q59:R59)=0,"",ROUND(AVERAGE(Q59:R59),1))</f>
        <v/>
      </c>
      <c r="AB59" s="62">
        <f>IF(AND(Z59="",AA59=""),"",ROUND(IFERROR(Z59,0)*0.6+IFERROR(AA59,0)*0.4,1))</f>
        <v/>
      </c>
      <c r="AC59" s="66" t="n"/>
    </row>
    <row r="60" ht="48" customHeight="1" s="45">
      <c r="A60" s="54" t="n">
        <v>59</v>
      </c>
      <c r="B60" s="54" t="inlineStr">
        <is>
          <t>CAMT</t>
        </is>
      </c>
      <c r="C60" s="55" t="inlineStr">
        <is>
          <t>Camtek</t>
        </is>
      </c>
      <c r="D60" s="76" t="inlineStr">
        <is>
          <t>L9·半导体底座</t>
        </is>
      </c>
      <c r="E60" s="55" t="inlineStr">
        <is>
          <t>HBM 检测</t>
        </is>
      </c>
      <c r="F60" s="67" t="inlineStr">
        <is>
          <t>二线</t>
        </is>
      </c>
      <c r="G60" s="58" t="inlineStr">
        <is>
          <t>★★★★★</t>
        </is>
      </c>
      <c r="H60" s="59" t="inlineStr">
        <is>
          <t>题材交易</t>
        </is>
      </c>
      <c r="I60" s="55" t="inlineStr">
        <is>
          <t>HBM 检测受益+先进封装专精</t>
        </is>
      </c>
      <c r="J60" s="55" t="inlineStr">
        <is>
          <t>HBM 检测设备订单</t>
        </is>
      </c>
      <c r="K60" s="55" t="inlineStr">
        <is>
          <t>—</t>
        </is>
      </c>
      <c r="L60" s="60" t="inlineStr">
        <is>
          <t>客户集中</t>
        </is>
      </c>
      <c r="M60" s="61" t="n"/>
      <c r="N60" s="61" t="n"/>
      <c r="O60" s="61" t="n"/>
      <c r="P60" s="62">
        <f>IF(N60="","",IFERROR((M60-N60)/N60,""))</f>
        <v/>
      </c>
      <c r="Q60" s="63" t="n"/>
      <c r="R60" s="63" t="n"/>
      <c r="S60" s="64" t="n"/>
      <c r="T60" s="65" t="n"/>
      <c r="U60" s="65" t="n"/>
      <c r="V60" s="63" t="n"/>
      <c r="W60" s="63" t="n"/>
      <c r="X60" s="63" t="n"/>
      <c r="Y60" s="63" t="n"/>
      <c r="Z60" s="62">
        <f>IF(COUNT(V60:Y60)=0,"",ROUND(AVERAGE(V60:Y60),1))</f>
        <v/>
      </c>
      <c r="AA60" s="62">
        <f>IF(COUNT(Q60:R60)=0,"",ROUND(AVERAGE(Q60:R60),1))</f>
        <v/>
      </c>
      <c r="AB60" s="62">
        <f>IF(AND(Z60="",AA60=""),"",ROUND(IFERROR(Z60,0)*0.6+IFERROR(AA60,0)*0.4,1))</f>
        <v/>
      </c>
      <c r="AC60" s="66" t="n"/>
    </row>
    <row r="61" ht="48" customHeight="1" s="45">
      <c r="A61" s="54" t="n">
        <v>60</v>
      </c>
      <c r="B61" s="54" t="inlineStr">
        <is>
          <t>UCTT</t>
        </is>
      </c>
      <c r="C61" s="55" t="inlineStr">
        <is>
          <t>Ultra Clean</t>
        </is>
      </c>
      <c r="D61" s="76" t="inlineStr">
        <is>
          <t>L9·半导体底座</t>
        </is>
      </c>
      <c r="E61" s="60" t="inlineStr">
        <is>
          <t>设备子组件</t>
        </is>
      </c>
      <c r="F61" s="67" t="inlineStr">
        <is>
          <t>二线</t>
        </is>
      </c>
      <c r="G61" s="58" t="inlineStr">
        <is>
          <t>★★★☆☆</t>
        </is>
      </c>
      <c r="H61" s="59" t="inlineStr">
        <is>
          <t>卫星</t>
        </is>
      </c>
      <c r="I61" s="55" t="inlineStr">
        <is>
          <t>WFE 上游子组件代工</t>
        </is>
      </c>
      <c r="J61" s="55" t="inlineStr">
        <is>
          <t>WFE Capex</t>
        </is>
      </c>
      <c r="K61" s="55" t="inlineStr">
        <is>
          <t>—</t>
        </is>
      </c>
      <c r="L61" s="60" t="inlineStr">
        <is>
          <t>客户集中</t>
        </is>
      </c>
      <c r="M61" s="61" t="n"/>
      <c r="N61" s="61" t="n"/>
      <c r="O61" s="61" t="n"/>
      <c r="P61" s="62">
        <f>IF(N61="","",IFERROR((M61-N61)/N61,""))</f>
        <v/>
      </c>
      <c r="Q61" s="63" t="n"/>
      <c r="R61" s="63" t="n"/>
      <c r="S61" s="64" t="n"/>
      <c r="T61" s="65" t="n"/>
      <c r="U61" s="65" t="n"/>
      <c r="V61" s="63" t="n"/>
      <c r="W61" s="63" t="n"/>
      <c r="X61" s="63" t="n"/>
      <c r="Y61" s="63" t="n"/>
      <c r="Z61" s="62">
        <f>IF(COUNT(V61:Y61)=0,"",ROUND(AVERAGE(V61:Y61),1))</f>
        <v/>
      </c>
      <c r="AA61" s="62">
        <f>IF(COUNT(Q61:R61)=0,"",ROUND(AVERAGE(Q61:R61),1))</f>
        <v/>
      </c>
      <c r="AB61" s="62">
        <f>IF(AND(Z61="",AA61=""),"",ROUND(IFERROR(Z61,0)*0.6+IFERROR(AA61,0)*0.4,1))</f>
        <v/>
      </c>
      <c r="AC61" s="66" t="n"/>
    </row>
    <row r="62" ht="48" customHeight="1" s="45">
      <c r="A62" s="54" t="n">
        <v>61</v>
      </c>
      <c r="B62" s="54" t="inlineStr">
        <is>
          <t>ICHR</t>
        </is>
      </c>
      <c r="C62" s="55" t="inlineStr">
        <is>
          <t>Ichor Holdings</t>
        </is>
      </c>
      <c r="D62" s="76" t="inlineStr">
        <is>
          <t>L9·半导体底座</t>
        </is>
      </c>
      <c r="E62" s="60" t="inlineStr">
        <is>
          <t>气体输送</t>
        </is>
      </c>
      <c r="F62" s="67" t="inlineStr">
        <is>
          <t>二线</t>
        </is>
      </c>
      <c r="G62" s="58" t="inlineStr">
        <is>
          <t>★★★☆☆</t>
        </is>
      </c>
      <c r="H62" s="59" t="inlineStr">
        <is>
          <t>卫星</t>
        </is>
      </c>
      <c r="I62" s="55" t="inlineStr">
        <is>
          <t>WFE 上游气体子系统</t>
        </is>
      </c>
      <c r="J62" s="55" t="inlineStr">
        <is>
          <t>WFE Capex</t>
        </is>
      </c>
      <c r="K62" s="55" t="inlineStr">
        <is>
          <t>—</t>
        </is>
      </c>
      <c r="L62" s="60" t="inlineStr">
        <is>
          <t>客户集中</t>
        </is>
      </c>
      <c r="M62" s="61" t="n"/>
      <c r="N62" s="61" t="n"/>
      <c r="O62" s="61" t="n"/>
      <c r="P62" s="62">
        <f>IF(N62="","",IFERROR((M62-N62)/N62,""))</f>
        <v/>
      </c>
      <c r="Q62" s="63" t="n"/>
      <c r="R62" s="63" t="n"/>
      <c r="S62" s="64" t="n"/>
      <c r="T62" s="65" t="n"/>
      <c r="U62" s="65" t="n"/>
      <c r="V62" s="63" t="n"/>
      <c r="W62" s="63" t="n"/>
      <c r="X62" s="63" t="n"/>
      <c r="Y62" s="63" t="n"/>
      <c r="Z62" s="62">
        <f>IF(COUNT(V62:Y62)=0,"",ROUND(AVERAGE(V62:Y62),1))</f>
        <v/>
      </c>
      <c r="AA62" s="62">
        <f>IF(COUNT(Q62:R62)=0,"",ROUND(AVERAGE(Q62:R62),1))</f>
        <v/>
      </c>
      <c r="AB62" s="62">
        <f>IF(AND(Z62="",AA62=""),"",ROUND(IFERROR(Z62,0)*0.6+IFERROR(AA62,0)*0.4,1))</f>
        <v/>
      </c>
      <c r="AC62" s="66" t="n"/>
    </row>
    <row r="63" ht="48" customHeight="1" s="45">
      <c r="A63" s="54" t="n">
        <v>62</v>
      </c>
      <c r="B63" s="54" t="inlineStr">
        <is>
          <t>AEHR</t>
        </is>
      </c>
      <c r="C63" s="55" t="inlineStr">
        <is>
          <t>AEHR Test</t>
        </is>
      </c>
      <c r="D63" s="76" t="inlineStr">
        <is>
          <t>L9·半导体底座</t>
        </is>
      </c>
      <c r="E63" s="60" t="inlineStr">
        <is>
          <t>老化测试</t>
        </is>
      </c>
      <c r="F63" s="73" t="inlineStr">
        <is>
          <t>概念</t>
        </is>
      </c>
      <c r="G63" s="58" t="inlineStr">
        <is>
          <t>★★★☆☆</t>
        </is>
      </c>
      <c r="H63" s="59" t="inlineStr">
        <is>
          <t>题材交易</t>
        </is>
      </c>
      <c r="I63" s="55" t="inlineStr">
        <is>
          <t>SiC/GaN 老化测试；HBM 老化想象</t>
        </is>
      </c>
      <c r="J63" s="55" t="inlineStr">
        <is>
          <t>HBM 老化测试订单</t>
        </is>
      </c>
      <c r="K63" s="55" t="inlineStr">
        <is>
          <t>—</t>
        </is>
      </c>
      <c r="L63" s="60" t="inlineStr">
        <is>
          <t>体量小</t>
        </is>
      </c>
      <c r="M63" s="61" t="n"/>
      <c r="N63" s="61" t="n"/>
      <c r="O63" s="61" t="n"/>
      <c r="P63" s="62">
        <f>IF(N63="","",IFERROR((M63-N63)/N63,""))</f>
        <v/>
      </c>
      <c r="Q63" s="63" t="n"/>
      <c r="R63" s="63" t="n"/>
      <c r="S63" s="64" t="n"/>
      <c r="T63" s="65" t="n"/>
      <c r="U63" s="65" t="n"/>
      <c r="V63" s="63" t="n"/>
      <c r="W63" s="63" t="n"/>
      <c r="X63" s="63" t="n"/>
      <c r="Y63" s="63" t="n"/>
      <c r="Z63" s="62">
        <f>IF(COUNT(V63:Y63)=0,"",ROUND(AVERAGE(V63:Y63),1))</f>
        <v/>
      </c>
      <c r="AA63" s="62">
        <f>IF(COUNT(Q63:R63)=0,"",ROUND(AVERAGE(Q63:R63),1))</f>
        <v/>
      </c>
      <c r="AB63" s="62">
        <f>IF(AND(Z63="",AA63=""),"",ROUND(IFERROR(Z63,0)*0.6+IFERROR(AA63,0)*0.4,1))</f>
        <v/>
      </c>
      <c r="AC63" s="66" t="n"/>
    </row>
    <row r="64" ht="48" customHeight="1" s="45">
      <c r="A64" s="54" t="n">
        <v>63</v>
      </c>
      <c r="B64" s="54" t="inlineStr">
        <is>
          <t>VRT</t>
        </is>
      </c>
      <c r="C64" s="55" t="inlineStr">
        <is>
          <t>Vertiv</t>
        </is>
      </c>
      <c r="D64" s="77" t="inlineStr">
        <is>
          <t>L10·IDC 电力配套</t>
        </is>
      </c>
      <c r="E64" s="55" t="inlineStr">
        <is>
          <t>UPS+液冷+精密配电</t>
        </is>
      </c>
      <c r="F64" s="57" t="inlineStr">
        <is>
          <t>龙头</t>
        </is>
      </c>
      <c r="G64" s="58" t="inlineStr">
        <is>
          <t>★★★★★</t>
        </is>
      </c>
      <c r="H64" s="59" t="inlineStr">
        <is>
          <t>核心配置</t>
        </is>
      </c>
      <c r="I64" s="60" t="inlineStr">
        <is>
          <t>液冷+电力订单 backlog 满载；NVDA Blackwell 配套</t>
        </is>
      </c>
      <c r="J64" s="55" t="inlineStr">
        <is>
          <t>Book-to-bill；液冷营收占比</t>
        </is>
      </c>
      <c r="K64" s="55" t="inlineStr">
        <is>
          <t>—</t>
        </is>
      </c>
      <c r="L64" s="60" t="inlineStr">
        <is>
          <t>估值高</t>
        </is>
      </c>
      <c r="M64" s="61" t="n"/>
      <c r="N64" s="61" t="n"/>
      <c r="O64" s="61" t="n"/>
      <c r="P64" s="62">
        <f>IF(N64="","",IFERROR((M64-N64)/N64,""))</f>
        <v/>
      </c>
      <c r="Q64" s="63" t="n"/>
      <c r="R64" s="63" t="n"/>
      <c r="S64" s="64" t="n"/>
      <c r="T64" s="65" t="n"/>
      <c r="U64" s="65" t="n"/>
      <c r="V64" s="63" t="n"/>
      <c r="W64" s="63" t="n"/>
      <c r="X64" s="63" t="n"/>
      <c r="Y64" s="63" t="n"/>
      <c r="Z64" s="62">
        <f>IF(COUNT(V64:Y64)=0,"",ROUND(AVERAGE(V64:Y64),1))</f>
        <v/>
      </c>
      <c r="AA64" s="62">
        <f>IF(COUNT(Q64:R64)=0,"",ROUND(AVERAGE(Q64:R64),1))</f>
        <v/>
      </c>
      <c r="AB64" s="62">
        <f>IF(AND(Z64="",AA64=""),"",ROUND(IFERROR(Z64,0)*0.6+IFERROR(AA64,0)*0.4,1))</f>
        <v/>
      </c>
      <c r="AC64" s="66" t="n"/>
    </row>
    <row r="65" ht="48" customHeight="1" s="45">
      <c r="A65" s="54" t="n">
        <v>64</v>
      </c>
      <c r="B65" s="54" t="inlineStr">
        <is>
          <t>ETN</t>
        </is>
      </c>
      <c r="C65" s="55" t="inlineStr">
        <is>
          <t>Eaton</t>
        </is>
      </c>
      <c r="D65" s="77" t="inlineStr">
        <is>
          <t>L10·IDC 电力配套</t>
        </is>
      </c>
      <c r="E65" s="60" t="inlineStr">
        <is>
          <t>电气+配电</t>
        </is>
      </c>
      <c r="F65" s="57" t="inlineStr">
        <is>
          <t>龙头</t>
        </is>
      </c>
      <c r="G65" s="58" t="inlineStr">
        <is>
          <t>★★★★☆</t>
        </is>
      </c>
      <c r="H65" s="59" t="inlineStr">
        <is>
          <t>核心配置</t>
        </is>
      </c>
      <c r="I65" s="60" t="inlineStr">
        <is>
          <t>数据中心+电网双端受益；大型项目订单</t>
        </is>
      </c>
      <c r="J65" s="60" t="inlineStr">
        <is>
          <t>数据中心订单增速</t>
        </is>
      </c>
      <c r="K65" s="55" t="inlineStr">
        <is>
          <t>—</t>
        </is>
      </c>
      <c r="L65" s="60" t="inlineStr">
        <is>
          <t>估值</t>
        </is>
      </c>
      <c r="M65" s="61" t="n"/>
      <c r="N65" s="61" t="n"/>
      <c r="O65" s="61" t="n"/>
      <c r="P65" s="62">
        <f>IF(N65="","",IFERROR((M65-N65)/N65,""))</f>
        <v/>
      </c>
      <c r="Q65" s="63" t="n"/>
      <c r="R65" s="63" t="n"/>
      <c r="S65" s="64" t="n"/>
      <c r="T65" s="65" t="n"/>
      <c r="U65" s="65" t="n"/>
      <c r="V65" s="63" t="n"/>
      <c r="W65" s="63" t="n"/>
      <c r="X65" s="63" t="n"/>
      <c r="Y65" s="63" t="n"/>
      <c r="Z65" s="62">
        <f>IF(COUNT(V65:Y65)=0,"",ROUND(AVERAGE(V65:Y65),1))</f>
        <v/>
      </c>
      <c r="AA65" s="62">
        <f>IF(COUNT(Q65:R65)=0,"",ROUND(AVERAGE(Q65:R65),1))</f>
        <v/>
      </c>
      <c r="AB65" s="62">
        <f>IF(AND(Z65="",AA65=""),"",ROUND(IFERROR(Z65,0)*0.6+IFERROR(AA65,0)*0.4,1))</f>
        <v/>
      </c>
      <c r="AC65" s="66" t="n"/>
    </row>
    <row r="66" ht="48" customHeight="1" s="45">
      <c r="A66" s="54" t="n">
        <v>65</v>
      </c>
      <c r="B66" s="54" t="inlineStr">
        <is>
          <t>GEV</t>
        </is>
      </c>
      <c r="C66" s="55" t="inlineStr">
        <is>
          <t>GE Vernova</t>
        </is>
      </c>
      <c r="D66" s="77" t="inlineStr">
        <is>
          <t>L10·IDC 电力配套</t>
        </is>
      </c>
      <c r="E66" s="60" t="inlineStr">
        <is>
          <t>燃机+电网+水轮机</t>
        </is>
      </c>
      <c r="F66" s="57" t="inlineStr">
        <is>
          <t>龙头</t>
        </is>
      </c>
      <c r="G66" s="58" t="inlineStr">
        <is>
          <t>★★★★★</t>
        </is>
      </c>
      <c r="H66" s="59" t="inlineStr">
        <is>
          <t>核心配置</t>
        </is>
      </c>
      <c r="I66" s="55" t="inlineStr">
        <is>
          <t>HA 级燃机交付排到 2027+；电网设备紧缺</t>
        </is>
      </c>
      <c r="J66" s="60" t="inlineStr">
        <is>
          <t>燃机订单 backlog；2026 利润率</t>
        </is>
      </c>
      <c r="K66" s="60" t="inlineStr">
        <is>
          <t>东方电气</t>
        </is>
      </c>
      <c r="L66" s="60" t="inlineStr">
        <is>
          <t>周期+服务转型</t>
        </is>
      </c>
      <c r="M66" s="61" t="n"/>
      <c r="N66" s="61" t="n"/>
      <c r="O66" s="61" t="n"/>
      <c r="P66" s="62">
        <f>IF(N66="","",IFERROR((M66-N66)/N66,""))</f>
        <v/>
      </c>
      <c r="Q66" s="63" t="n"/>
      <c r="R66" s="63" t="n"/>
      <c r="S66" s="64" t="n"/>
      <c r="T66" s="65" t="n"/>
      <c r="U66" s="65" t="n"/>
      <c r="V66" s="63" t="n"/>
      <c r="W66" s="63" t="n"/>
      <c r="X66" s="63" t="n"/>
      <c r="Y66" s="63" t="n"/>
      <c r="Z66" s="62">
        <f>IF(COUNT(V66:Y66)=0,"",ROUND(AVERAGE(V66:Y66),1))</f>
        <v/>
      </c>
      <c r="AA66" s="62">
        <f>IF(COUNT(Q66:R66)=0,"",ROUND(AVERAGE(Q66:R66),1))</f>
        <v/>
      </c>
      <c r="AB66" s="62">
        <f>IF(AND(Z66="",AA66=""),"",ROUND(IFERROR(Z66,0)*0.6+IFERROR(AA66,0)*0.4,1))</f>
        <v/>
      </c>
      <c r="AC66" s="66" t="n"/>
    </row>
    <row r="67" ht="48" customHeight="1" s="45">
      <c r="A67" s="54" t="n">
        <v>66</v>
      </c>
      <c r="B67" s="54" t="inlineStr">
        <is>
          <t>PWR</t>
        </is>
      </c>
      <c r="C67" s="55" t="inlineStr">
        <is>
          <t>Quanta Services</t>
        </is>
      </c>
      <c r="D67" s="77" t="inlineStr">
        <is>
          <t>L10·IDC 电力配套</t>
        </is>
      </c>
      <c r="E67" s="60" t="inlineStr">
        <is>
          <t>电力 EPC 工程</t>
        </is>
      </c>
      <c r="F67" s="57" t="inlineStr">
        <is>
          <t>龙头</t>
        </is>
      </c>
      <c r="G67" s="58" t="inlineStr">
        <is>
          <t>★★★★☆</t>
        </is>
      </c>
      <c r="H67" s="59" t="inlineStr">
        <is>
          <t>卫星</t>
        </is>
      </c>
      <c r="I67" s="60" t="inlineStr">
        <is>
          <t>电网建设+IDC 接入工程订单</t>
        </is>
      </c>
      <c r="J67" s="55" t="inlineStr">
        <is>
          <t>Backlog 增长</t>
        </is>
      </c>
      <c r="K67" s="55" t="inlineStr">
        <is>
          <t>—</t>
        </is>
      </c>
      <c r="L67" s="60" t="inlineStr">
        <is>
          <t>项目周期</t>
        </is>
      </c>
      <c r="M67" s="61" t="n"/>
      <c r="N67" s="61" t="n"/>
      <c r="O67" s="61" t="n"/>
      <c r="P67" s="62">
        <f>IF(N67="","",IFERROR((M67-N67)/N67,""))</f>
        <v/>
      </c>
      <c r="Q67" s="63" t="n"/>
      <c r="R67" s="63" t="n"/>
      <c r="S67" s="64" t="n"/>
      <c r="T67" s="65" t="n"/>
      <c r="U67" s="65" t="n"/>
      <c r="V67" s="63" t="n"/>
      <c r="W67" s="63" t="n"/>
      <c r="X67" s="63" t="n"/>
      <c r="Y67" s="63" t="n"/>
      <c r="Z67" s="62">
        <f>IF(COUNT(V67:Y67)=0,"",ROUND(AVERAGE(V67:Y67),1))</f>
        <v/>
      </c>
      <c r="AA67" s="62">
        <f>IF(COUNT(Q67:R67)=0,"",ROUND(AVERAGE(Q67:R67),1))</f>
        <v/>
      </c>
      <c r="AB67" s="62">
        <f>IF(AND(Z67="",AA67=""),"",ROUND(IFERROR(Z67,0)*0.6+IFERROR(AA67,0)*0.4,1))</f>
        <v/>
      </c>
      <c r="AC67" s="66" t="n"/>
    </row>
    <row r="68" ht="48" customHeight="1" s="45">
      <c r="A68" s="54" t="n">
        <v>67</v>
      </c>
      <c r="B68" s="54" t="inlineStr">
        <is>
          <t>EME</t>
        </is>
      </c>
      <c r="C68" s="55" t="inlineStr">
        <is>
          <t>EMCOR</t>
        </is>
      </c>
      <c r="D68" s="77" t="inlineStr">
        <is>
          <t>L10·IDC 电力配套</t>
        </is>
      </c>
      <c r="E68" s="60" t="inlineStr">
        <is>
          <t>机电承包</t>
        </is>
      </c>
      <c r="F68" s="57" t="inlineStr">
        <is>
          <t>龙头</t>
        </is>
      </c>
      <c r="G68" s="58" t="inlineStr">
        <is>
          <t>★★★★☆</t>
        </is>
      </c>
      <c r="H68" s="59" t="inlineStr">
        <is>
          <t>卫星</t>
        </is>
      </c>
      <c r="I68" s="55" t="inlineStr">
        <is>
          <t>IDC 机电交付+半导体厂房</t>
        </is>
      </c>
      <c r="J68" s="55" t="inlineStr">
        <is>
          <t>IDC 订单占比</t>
        </is>
      </c>
      <c r="K68" s="55" t="inlineStr">
        <is>
          <t>—</t>
        </is>
      </c>
      <c r="L68" s="60" t="inlineStr">
        <is>
          <t>项目集中度</t>
        </is>
      </c>
      <c r="M68" s="61" t="n"/>
      <c r="N68" s="61" t="n"/>
      <c r="O68" s="61" t="n"/>
      <c r="P68" s="62">
        <f>IF(N68="","",IFERROR((M68-N68)/N68,""))</f>
        <v/>
      </c>
      <c r="Q68" s="63" t="n"/>
      <c r="R68" s="63" t="n"/>
      <c r="S68" s="64" t="n"/>
      <c r="T68" s="65" t="n"/>
      <c r="U68" s="65" t="n"/>
      <c r="V68" s="63" t="n"/>
      <c r="W68" s="63" t="n"/>
      <c r="X68" s="63" t="n"/>
      <c r="Y68" s="63" t="n"/>
      <c r="Z68" s="62">
        <f>IF(COUNT(V68:Y68)=0,"",ROUND(AVERAGE(V68:Y68),1))</f>
        <v/>
      </c>
      <c r="AA68" s="62">
        <f>IF(COUNT(Q68:R68)=0,"",ROUND(AVERAGE(Q68:R68),1))</f>
        <v/>
      </c>
      <c r="AB68" s="62">
        <f>IF(AND(Z68="",AA68=""),"",ROUND(IFERROR(Z68,0)*0.6+IFERROR(AA68,0)*0.4,1))</f>
        <v/>
      </c>
      <c r="AC68" s="66" t="n"/>
    </row>
    <row r="69" ht="48" customHeight="1" s="45">
      <c r="A69" s="54" t="n">
        <v>68</v>
      </c>
      <c r="B69" s="54" t="inlineStr">
        <is>
          <t>MOD</t>
        </is>
      </c>
      <c r="C69" s="55" t="inlineStr">
        <is>
          <t>Modine</t>
        </is>
      </c>
      <c r="D69" s="77" t="inlineStr">
        <is>
          <t>L10·IDC 电力配套</t>
        </is>
      </c>
      <c r="E69" s="60" t="inlineStr">
        <is>
          <t>数据中心冷却</t>
        </is>
      </c>
      <c r="F69" s="57" t="inlineStr">
        <is>
          <t>龙头</t>
        </is>
      </c>
      <c r="G69" s="58" t="inlineStr">
        <is>
          <t>★★★★★</t>
        </is>
      </c>
      <c r="H69" s="59" t="inlineStr">
        <is>
          <t>卫星</t>
        </is>
      </c>
      <c r="I69" s="60" t="inlineStr">
        <is>
          <t>液冷 CDU+精密空调；纯液冷小盘成长股</t>
        </is>
      </c>
      <c r="J69" s="60" t="inlineStr">
        <is>
          <t>液冷订单</t>
        </is>
      </c>
      <c r="K69" s="55" t="inlineStr">
        <is>
          <t>—</t>
        </is>
      </c>
      <c r="L69" s="60" t="inlineStr">
        <is>
          <t>单一业务</t>
        </is>
      </c>
      <c r="M69" s="61" t="n"/>
      <c r="N69" s="61" t="n"/>
      <c r="O69" s="61" t="n"/>
      <c r="P69" s="62">
        <f>IF(N69="","",IFERROR((M69-N69)/N69,""))</f>
        <v/>
      </c>
      <c r="Q69" s="63" t="n"/>
      <c r="R69" s="63" t="n"/>
      <c r="S69" s="64" t="n"/>
      <c r="T69" s="65" t="n"/>
      <c r="U69" s="65" t="n"/>
      <c r="V69" s="63" t="n"/>
      <c r="W69" s="63" t="n"/>
      <c r="X69" s="63" t="n"/>
      <c r="Y69" s="63" t="n"/>
      <c r="Z69" s="62">
        <f>IF(COUNT(V69:Y69)=0,"",ROUND(AVERAGE(V69:Y69),1))</f>
        <v/>
      </c>
      <c r="AA69" s="62">
        <f>IF(COUNT(Q69:R69)=0,"",ROUND(AVERAGE(Q69:R69),1))</f>
        <v/>
      </c>
      <c r="AB69" s="62">
        <f>IF(AND(Z69="",AA69=""),"",ROUND(IFERROR(Z69,0)*0.6+IFERROR(AA69,0)*0.4,1))</f>
        <v/>
      </c>
      <c r="AC69" s="66" t="n"/>
    </row>
    <row r="70" ht="48" customHeight="1" s="45">
      <c r="A70" s="54" t="n">
        <v>69</v>
      </c>
      <c r="B70" s="54" t="inlineStr">
        <is>
          <t>HUBB</t>
        </is>
      </c>
      <c r="C70" s="55" t="inlineStr">
        <is>
          <t>Hubbell</t>
        </is>
      </c>
      <c r="D70" s="77" t="inlineStr">
        <is>
          <t>L10·IDC 电力配套</t>
        </is>
      </c>
      <c r="E70" s="60" t="inlineStr">
        <is>
          <t>配电产品</t>
        </is>
      </c>
      <c r="F70" s="67" t="inlineStr">
        <is>
          <t>二线</t>
        </is>
      </c>
      <c r="G70" s="58" t="inlineStr">
        <is>
          <t>★★★☆☆</t>
        </is>
      </c>
      <c r="H70" s="59" t="inlineStr">
        <is>
          <t>卫星</t>
        </is>
      </c>
      <c r="I70" s="60" t="inlineStr">
        <is>
          <t>电网+IDC 配电组件；公用事业景气</t>
        </is>
      </c>
      <c r="J70" s="60" t="inlineStr">
        <is>
          <t>电气产品营收</t>
        </is>
      </c>
      <c r="K70" s="55" t="inlineStr">
        <is>
          <t>—</t>
        </is>
      </c>
      <c r="L70" s="60" t="inlineStr">
        <is>
          <t>估值</t>
        </is>
      </c>
      <c r="M70" s="61" t="n"/>
      <c r="N70" s="61" t="n"/>
      <c r="O70" s="61" t="n"/>
      <c r="P70" s="62">
        <f>IF(N70="","",IFERROR((M70-N70)/N70,""))</f>
        <v/>
      </c>
      <c r="Q70" s="63" t="n"/>
      <c r="R70" s="63" t="n"/>
      <c r="S70" s="64" t="n"/>
      <c r="T70" s="65" t="n"/>
      <c r="U70" s="65" t="n"/>
      <c r="V70" s="63" t="n"/>
      <c r="W70" s="63" t="n"/>
      <c r="X70" s="63" t="n"/>
      <c r="Y70" s="63" t="n"/>
      <c r="Z70" s="62">
        <f>IF(COUNT(V70:Y70)=0,"",ROUND(AVERAGE(V70:Y70),1))</f>
        <v/>
      </c>
      <c r="AA70" s="62">
        <f>IF(COUNT(Q70:R70)=0,"",ROUND(AVERAGE(Q70:R70),1))</f>
        <v/>
      </c>
      <c r="AB70" s="62">
        <f>IF(AND(Z70="",AA70=""),"",ROUND(IFERROR(Z70,0)*0.6+IFERROR(AA70,0)*0.4,1))</f>
        <v/>
      </c>
      <c r="AC70" s="66" t="n"/>
    </row>
    <row r="71" ht="48" customHeight="1" s="45">
      <c r="A71" s="54" t="n">
        <v>70</v>
      </c>
      <c r="B71" s="54" t="inlineStr">
        <is>
          <t>AYI</t>
        </is>
      </c>
      <c r="C71" s="55" t="inlineStr">
        <is>
          <t>Acuity Brands</t>
        </is>
      </c>
      <c r="D71" s="77" t="inlineStr">
        <is>
          <t>L10·IDC 电力配套</t>
        </is>
      </c>
      <c r="E71" s="60" t="inlineStr">
        <is>
          <t>楼宇控制</t>
        </is>
      </c>
      <c r="F71" s="73" t="inlineStr">
        <is>
          <t>概念</t>
        </is>
      </c>
      <c r="G71" s="58" t="inlineStr">
        <is>
          <t>★★☆☆☆</t>
        </is>
      </c>
      <c r="H71" s="59" t="inlineStr">
        <is>
          <t>题材交易</t>
        </is>
      </c>
      <c r="I71" s="60" t="inlineStr">
        <is>
          <t>楼宇/数据中心 BMS 概念</t>
        </is>
      </c>
      <c r="J71" s="55" t="inlineStr">
        <is>
          <t>—</t>
        </is>
      </c>
      <c r="K71" s="55" t="inlineStr">
        <is>
          <t>—</t>
        </is>
      </c>
      <c r="L71" s="60" t="inlineStr">
        <is>
          <t>关联度弱</t>
        </is>
      </c>
      <c r="M71" s="61" t="n"/>
      <c r="N71" s="61" t="n"/>
      <c r="O71" s="61" t="n"/>
      <c r="P71" s="62">
        <f>IF(N71="","",IFERROR((M71-N71)/N71,""))</f>
        <v/>
      </c>
      <c r="Q71" s="63" t="n"/>
      <c r="R71" s="63" t="n"/>
      <c r="S71" s="64" t="n"/>
      <c r="T71" s="65" t="n"/>
      <c r="U71" s="65" t="n"/>
      <c r="V71" s="63" t="n"/>
      <c r="W71" s="63" t="n"/>
      <c r="X71" s="63" t="n"/>
      <c r="Y71" s="63" t="n"/>
      <c r="Z71" s="62">
        <f>IF(COUNT(V71:Y71)=0,"",ROUND(AVERAGE(V71:Y71),1))</f>
        <v/>
      </c>
      <c r="AA71" s="62">
        <f>IF(COUNT(Q71:R71)=0,"",ROUND(AVERAGE(Q71:R71),1))</f>
        <v/>
      </c>
      <c r="AB71" s="62">
        <f>IF(AND(Z71="",AA71=""),"",ROUND(IFERROR(Z71,0)*0.6+IFERROR(AA71,0)*0.4,1))</f>
        <v/>
      </c>
      <c r="AC71" s="66" t="n"/>
    </row>
    <row r="72" ht="48" customHeight="1" s="45">
      <c r="A72" s="54" t="n">
        <v>71</v>
      </c>
      <c r="B72" s="54" t="inlineStr">
        <is>
          <t>ROK</t>
        </is>
      </c>
      <c r="C72" s="55" t="inlineStr">
        <is>
          <t>Rockwell Automatn</t>
        </is>
      </c>
      <c r="D72" s="77" t="inlineStr">
        <is>
          <t>L10·IDC 电力配套</t>
        </is>
      </c>
      <c r="E72" s="60" t="inlineStr">
        <is>
          <t>工业自动化</t>
        </is>
      </c>
      <c r="F72" s="67" t="inlineStr">
        <is>
          <t>二线</t>
        </is>
      </c>
      <c r="G72" s="58" t="inlineStr">
        <is>
          <t>★★☆☆☆</t>
        </is>
      </c>
      <c r="H72" s="59" t="inlineStr">
        <is>
          <t>卫星</t>
        </is>
      </c>
      <c r="I72" s="55" t="inlineStr">
        <is>
          <t>PLC+部分 IDC 自动化</t>
        </is>
      </c>
      <c r="J72" s="60" t="inlineStr">
        <is>
          <t>工业 Capex</t>
        </is>
      </c>
      <c r="K72" s="55" t="inlineStr">
        <is>
          <t>—</t>
        </is>
      </c>
      <c r="L72" s="60" t="inlineStr">
        <is>
          <t>周期</t>
        </is>
      </c>
      <c r="M72" s="61" t="n"/>
      <c r="N72" s="61" t="n"/>
      <c r="O72" s="61" t="n"/>
      <c r="P72" s="62">
        <f>IF(N72="","",IFERROR((M72-N72)/N72,""))</f>
        <v/>
      </c>
      <c r="Q72" s="63" t="n"/>
      <c r="R72" s="63" t="n"/>
      <c r="S72" s="64" t="n"/>
      <c r="T72" s="65" t="n"/>
      <c r="U72" s="65" t="n"/>
      <c r="V72" s="63" t="n"/>
      <c r="W72" s="63" t="n"/>
      <c r="X72" s="63" t="n"/>
      <c r="Y72" s="63" t="n"/>
      <c r="Z72" s="62">
        <f>IF(COUNT(V72:Y72)=0,"",ROUND(AVERAGE(V72:Y72),1))</f>
        <v/>
      </c>
      <c r="AA72" s="62">
        <f>IF(COUNT(Q72:R72)=0,"",ROUND(AVERAGE(Q72:R72),1))</f>
        <v/>
      </c>
      <c r="AB72" s="62">
        <f>IF(AND(Z72="",AA72=""),"",ROUND(IFERROR(Z72,0)*0.6+IFERROR(AA72,0)*0.4,1))</f>
        <v/>
      </c>
      <c r="AC72" s="66" t="n"/>
    </row>
    <row r="73" ht="48" customHeight="1" s="45">
      <c r="A73" s="54" t="n">
        <v>72</v>
      </c>
      <c r="B73" s="54" t="inlineStr">
        <is>
          <t>NVT</t>
        </is>
      </c>
      <c r="C73" s="55" t="inlineStr">
        <is>
          <t>nVent</t>
        </is>
      </c>
      <c r="D73" s="77" t="inlineStr">
        <is>
          <t>L10·IDC 电力配套</t>
        </is>
      </c>
      <c r="E73" s="60" t="inlineStr">
        <is>
          <t>机柜+液冷+电连接</t>
        </is>
      </c>
      <c r="F73" s="67" t="inlineStr">
        <is>
          <t>二线</t>
        </is>
      </c>
      <c r="G73" s="58" t="inlineStr">
        <is>
          <t>★★★★☆</t>
        </is>
      </c>
      <c r="H73" s="59" t="inlineStr">
        <is>
          <t>卫星</t>
        </is>
      </c>
      <c r="I73" s="60" t="inlineStr">
        <is>
          <t>机柜+液冷分流+电气连接</t>
        </is>
      </c>
      <c r="J73" s="60" t="inlineStr">
        <is>
          <t>液冷营收占比</t>
        </is>
      </c>
      <c r="K73" s="55" t="inlineStr">
        <is>
          <t>—</t>
        </is>
      </c>
      <c r="L73" s="60" t="inlineStr">
        <is>
          <t>估值</t>
        </is>
      </c>
      <c r="M73" s="61" t="n"/>
      <c r="N73" s="61" t="n"/>
      <c r="O73" s="61" t="n"/>
      <c r="P73" s="62">
        <f>IF(N73="","",IFERROR((M73-N73)/N73,""))</f>
        <v/>
      </c>
      <c r="Q73" s="63" t="n"/>
      <c r="R73" s="63" t="n"/>
      <c r="S73" s="64" t="n"/>
      <c r="T73" s="65" t="n"/>
      <c r="U73" s="65" t="n"/>
      <c r="V73" s="63" t="n"/>
      <c r="W73" s="63" t="n"/>
      <c r="X73" s="63" t="n"/>
      <c r="Y73" s="63" t="n"/>
      <c r="Z73" s="62">
        <f>IF(COUNT(V73:Y73)=0,"",ROUND(AVERAGE(V73:Y73),1))</f>
        <v/>
      </c>
      <c r="AA73" s="62">
        <f>IF(COUNT(Q73:R73)=0,"",ROUND(AVERAGE(Q73:R73),1))</f>
        <v/>
      </c>
      <c r="AB73" s="62">
        <f>IF(AND(Z73="",AA73=""),"",ROUND(IFERROR(Z73,0)*0.6+IFERROR(AA73,0)*0.4,1))</f>
        <v/>
      </c>
      <c r="AC73" s="66" t="n"/>
    </row>
    <row r="74" ht="48" customHeight="1" s="45">
      <c r="A74" s="54" t="n">
        <v>73</v>
      </c>
      <c r="B74" s="54" t="inlineStr">
        <is>
          <t>POWL</t>
        </is>
      </c>
      <c r="C74" s="55" t="inlineStr">
        <is>
          <t>Powell Industries</t>
        </is>
      </c>
      <c r="D74" s="77" t="inlineStr">
        <is>
          <t>L10·IDC 电力配套</t>
        </is>
      </c>
      <c r="E74" s="60" t="inlineStr">
        <is>
          <t>中压配电</t>
        </is>
      </c>
      <c r="F74" s="67" t="inlineStr">
        <is>
          <t>二线</t>
        </is>
      </c>
      <c r="G74" s="58" t="inlineStr">
        <is>
          <t>★★★★☆</t>
        </is>
      </c>
      <c r="H74" s="59" t="inlineStr">
        <is>
          <t>题材交易</t>
        </is>
      </c>
      <c r="I74" s="60" t="inlineStr">
        <is>
          <t>中压配电+LNG/IDC 订单</t>
        </is>
      </c>
      <c r="J74" s="55" t="inlineStr">
        <is>
          <t>Backlog；订单结构</t>
        </is>
      </c>
      <c r="K74" s="55" t="inlineStr">
        <is>
          <t>—</t>
        </is>
      </c>
      <c r="L74" s="60" t="inlineStr">
        <is>
          <t>周期</t>
        </is>
      </c>
      <c r="M74" s="61" t="n"/>
      <c r="N74" s="61" t="n"/>
      <c r="O74" s="61" t="n"/>
      <c r="P74" s="62">
        <f>IF(N74="","",IFERROR((M74-N74)/N74,""))</f>
        <v/>
      </c>
      <c r="Q74" s="63" t="n"/>
      <c r="R74" s="63" t="n"/>
      <c r="S74" s="64" t="n"/>
      <c r="T74" s="65" t="n"/>
      <c r="U74" s="65" t="n"/>
      <c r="V74" s="63" t="n"/>
      <c r="W74" s="63" t="n"/>
      <c r="X74" s="63" t="n"/>
      <c r="Y74" s="63" t="n"/>
      <c r="Z74" s="62">
        <f>IF(COUNT(V74:Y74)=0,"",ROUND(AVERAGE(V74:Y74),1))</f>
        <v/>
      </c>
      <c r="AA74" s="62">
        <f>IF(COUNT(Q74:R74)=0,"",ROUND(AVERAGE(Q74:R74),1))</f>
        <v/>
      </c>
      <c r="AB74" s="62">
        <f>IF(AND(Z74="",AA74=""),"",ROUND(IFERROR(Z74,0)*0.6+IFERROR(AA74,0)*0.4,1))</f>
        <v/>
      </c>
      <c r="AC74" s="66" t="n"/>
    </row>
    <row r="75" ht="48" customHeight="1" s="45">
      <c r="A75" s="54" t="n">
        <v>74</v>
      </c>
      <c r="B75" s="54" t="inlineStr">
        <is>
          <t>CEG</t>
        </is>
      </c>
      <c r="C75" s="55" t="inlineStr">
        <is>
          <t>Constellation</t>
        </is>
      </c>
      <c r="D75" s="78" t="inlineStr">
        <is>
          <t>L11·核电/SMR</t>
        </is>
      </c>
      <c r="E75" s="60" t="inlineStr">
        <is>
          <t>美国最大核电运营商</t>
        </is>
      </c>
      <c r="F75" s="57" t="inlineStr">
        <is>
          <t>龙头</t>
        </is>
      </c>
      <c r="G75" s="58" t="inlineStr">
        <is>
          <t>★★★★★</t>
        </is>
      </c>
      <c r="H75" s="59" t="inlineStr">
        <is>
          <t>核心配置</t>
        </is>
      </c>
      <c r="I75" s="55" t="inlineStr">
        <is>
          <t>MSFT 三里岛 PPA 重启；核电资产稀缺</t>
        </is>
      </c>
      <c r="J75" s="60" t="inlineStr">
        <is>
          <t>新 PPA 公告；电价合约</t>
        </is>
      </c>
      <c r="K75" s="60" t="inlineStr">
        <is>
          <t>中核+中广核</t>
        </is>
      </c>
      <c r="L75" s="55" t="inlineStr">
        <is>
          <t>PPA 节奏；监管</t>
        </is>
      </c>
      <c r="M75" s="61" t="n"/>
      <c r="N75" s="61" t="n"/>
      <c r="O75" s="61" t="n"/>
      <c r="P75" s="62">
        <f>IF(N75="","",IFERROR((M75-N75)/N75,""))</f>
        <v/>
      </c>
      <c r="Q75" s="63" t="n"/>
      <c r="R75" s="63" t="n"/>
      <c r="S75" s="64" t="n"/>
      <c r="T75" s="65" t="n"/>
      <c r="U75" s="65" t="n"/>
      <c r="V75" s="63" t="n"/>
      <c r="W75" s="63" t="n"/>
      <c r="X75" s="63" t="n"/>
      <c r="Y75" s="63" t="n"/>
      <c r="Z75" s="62">
        <f>IF(COUNT(V75:Y75)=0,"",ROUND(AVERAGE(V75:Y75),1))</f>
        <v/>
      </c>
      <c r="AA75" s="62">
        <f>IF(COUNT(Q75:R75)=0,"",ROUND(AVERAGE(Q75:R75),1))</f>
        <v/>
      </c>
      <c r="AB75" s="62">
        <f>IF(AND(Z75="",AA75=""),"",ROUND(IFERROR(Z75,0)*0.6+IFERROR(AA75,0)*0.4,1))</f>
        <v/>
      </c>
      <c r="AC75" s="66" t="n"/>
    </row>
    <row r="76" ht="48" customHeight="1" s="45">
      <c r="A76" s="54" t="n">
        <v>75</v>
      </c>
      <c r="B76" s="54" t="inlineStr">
        <is>
          <t>VST</t>
        </is>
      </c>
      <c r="C76" s="55" t="inlineStr">
        <is>
          <t>Vistra Energy</t>
        </is>
      </c>
      <c r="D76" s="78" t="inlineStr">
        <is>
          <t>L11·核电/SMR</t>
        </is>
      </c>
      <c r="E76" s="60" t="inlineStr">
        <is>
          <t>核电+燃气</t>
        </is>
      </c>
      <c r="F76" s="57" t="inlineStr">
        <is>
          <t>龙头</t>
        </is>
      </c>
      <c r="G76" s="58" t="inlineStr">
        <is>
          <t>★★★★★</t>
        </is>
      </c>
      <c r="H76" s="59" t="inlineStr">
        <is>
          <t>核心配置</t>
        </is>
      </c>
      <c r="I76" s="55" t="inlineStr">
        <is>
          <t>Comanche Peak 核电+德州燃气；负荷增长</t>
        </is>
      </c>
      <c r="J76" s="60" t="inlineStr">
        <is>
          <t>新 PPA；商品价格</t>
        </is>
      </c>
      <c r="K76" s="55" t="inlineStr">
        <is>
          <t>—</t>
        </is>
      </c>
      <c r="L76" s="60" t="inlineStr">
        <is>
          <t>商品价格波动</t>
        </is>
      </c>
      <c r="M76" s="61" t="n"/>
      <c r="N76" s="61" t="n"/>
      <c r="O76" s="61" t="n"/>
      <c r="P76" s="62">
        <f>IF(N76="","",IFERROR((M76-N76)/N76,""))</f>
        <v/>
      </c>
      <c r="Q76" s="63" t="n"/>
      <c r="R76" s="63" t="n"/>
      <c r="S76" s="64" t="n"/>
      <c r="T76" s="65" t="n"/>
      <c r="U76" s="65" t="n"/>
      <c r="V76" s="63" t="n"/>
      <c r="W76" s="63" t="n"/>
      <c r="X76" s="63" t="n"/>
      <c r="Y76" s="63" t="n"/>
      <c r="Z76" s="62">
        <f>IF(COUNT(V76:Y76)=0,"",ROUND(AVERAGE(V76:Y76),1))</f>
        <v/>
      </c>
      <c r="AA76" s="62">
        <f>IF(COUNT(Q76:R76)=0,"",ROUND(AVERAGE(Q76:R76),1))</f>
        <v/>
      </c>
      <c r="AB76" s="62">
        <f>IF(AND(Z76="",AA76=""),"",ROUND(IFERROR(Z76,0)*0.6+IFERROR(AA76,0)*0.4,1))</f>
        <v/>
      </c>
      <c r="AC76" s="66" t="n"/>
    </row>
    <row r="77" ht="48" customHeight="1" s="45">
      <c r="A77" s="54" t="n">
        <v>76</v>
      </c>
      <c r="B77" s="54" t="inlineStr">
        <is>
          <t>PEG</t>
        </is>
      </c>
      <c r="C77" s="55" t="inlineStr">
        <is>
          <t>PSEG</t>
        </is>
      </c>
      <c r="D77" s="78" t="inlineStr">
        <is>
          <t>L11·核电/SMR</t>
        </is>
      </c>
      <c r="E77" s="60" t="inlineStr">
        <is>
          <t>新泽西核电</t>
        </is>
      </c>
      <c r="F77" s="67" t="inlineStr">
        <is>
          <t>二线</t>
        </is>
      </c>
      <c r="G77" s="58" t="inlineStr">
        <is>
          <t>★★★☆☆</t>
        </is>
      </c>
      <c r="H77" s="59" t="inlineStr">
        <is>
          <t>卫星</t>
        </is>
      </c>
      <c r="I77" s="60" t="inlineStr">
        <is>
          <t>新泽西核电延寿+数据中心电价</t>
        </is>
      </c>
      <c r="J77" s="60" t="inlineStr">
        <is>
          <t>数据中心电价批准</t>
        </is>
      </c>
      <c r="K77" s="55" t="inlineStr">
        <is>
          <t>—</t>
        </is>
      </c>
      <c r="L77" s="60" t="inlineStr">
        <is>
          <t>监管</t>
        </is>
      </c>
      <c r="M77" s="61" t="n"/>
      <c r="N77" s="61" t="n"/>
      <c r="O77" s="61" t="n"/>
      <c r="P77" s="62">
        <f>IF(N77="","",IFERROR((M77-N77)/N77,""))</f>
        <v/>
      </c>
      <c r="Q77" s="63" t="n"/>
      <c r="R77" s="63" t="n"/>
      <c r="S77" s="64" t="n"/>
      <c r="T77" s="65" t="n"/>
      <c r="U77" s="65" t="n"/>
      <c r="V77" s="63" t="n"/>
      <c r="W77" s="63" t="n"/>
      <c r="X77" s="63" t="n"/>
      <c r="Y77" s="63" t="n"/>
      <c r="Z77" s="62">
        <f>IF(COUNT(V77:Y77)=0,"",ROUND(AVERAGE(V77:Y77),1))</f>
        <v/>
      </c>
      <c r="AA77" s="62">
        <f>IF(COUNT(Q77:R77)=0,"",ROUND(AVERAGE(Q77:R77),1))</f>
        <v/>
      </c>
      <c r="AB77" s="62">
        <f>IF(AND(Z77="",AA77=""),"",ROUND(IFERROR(Z77,0)*0.6+IFERROR(AA77,0)*0.4,1))</f>
        <v/>
      </c>
      <c r="AC77" s="66" t="n"/>
    </row>
    <row r="78" ht="48" customHeight="1" s="45">
      <c r="A78" s="54" t="n">
        <v>77</v>
      </c>
      <c r="B78" s="54" t="inlineStr">
        <is>
          <t>TLN</t>
        </is>
      </c>
      <c r="C78" s="55" t="inlineStr">
        <is>
          <t>Talen Energy</t>
        </is>
      </c>
      <c r="D78" s="78" t="inlineStr">
        <is>
          <t>L11·核电/SMR</t>
        </is>
      </c>
      <c r="E78" s="60" t="inlineStr">
        <is>
          <t>核电(AMZN)</t>
        </is>
      </c>
      <c r="F78" s="67" t="inlineStr">
        <is>
          <t>二线</t>
        </is>
      </c>
      <c r="G78" s="58" t="inlineStr">
        <is>
          <t>★★★★☆</t>
        </is>
      </c>
      <c r="H78" s="59" t="inlineStr">
        <is>
          <t>卫星</t>
        </is>
      </c>
      <c r="I78" s="55" t="inlineStr">
        <is>
          <t>Susquehanna 核电+AMZN PPA</t>
        </is>
      </c>
      <c r="J78" s="55" t="inlineStr">
        <is>
          <t>FERC 批准；新 PPA</t>
        </is>
      </c>
      <c r="K78" s="55" t="inlineStr">
        <is>
          <t>—</t>
        </is>
      </c>
      <c r="L78" s="60" t="inlineStr">
        <is>
          <t>已上涨较多</t>
        </is>
      </c>
      <c r="M78" s="61" t="n"/>
      <c r="N78" s="61" t="n"/>
      <c r="O78" s="61" t="n"/>
      <c r="P78" s="62">
        <f>IF(N78="","",IFERROR((M78-N78)/N78,""))</f>
        <v/>
      </c>
      <c r="Q78" s="63" t="n"/>
      <c r="R78" s="63" t="n"/>
      <c r="S78" s="64" t="n"/>
      <c r="T78" s="65" t="n"/>
      <c r="U78" s="65" t="n"/>
      <c r="V78" s="63" t="n"/>
      <c r="W78" s="63" t="n"/>
      <c r="X78" s="63" t="n"/>
      <c r="Y78" s="63" t="n"/>
      <c r="Z78" s="62">
        <f>IF(COUNT(V78:Y78)=0,"",ROUND(AVERAGE(V78:Y78),1))</f>
        <v/>
      </c>
      <c r="AA78" s="62">
        <f>IF(COUNT(Q78:R78)=0,"",ROUND(AVERAGE(Q78:R78),1))</f>
        <v/>
      </c>
      <c r="AB78" s="62">
        <f>IF(AND(Z78="",AA78=""),"",ROUND(IFERROR(Z78,0)*0.6+IFERROR(AA78,0)*0.4,1))</f>
        <v/>
      </c>
      <c r="AC78" s="66" t="n"/>
    </row>
    <row r="79" ht="48" customHeight="1" s="45">
      <c r="A79" s="54" t="n">
        <v>78</v>
      </c>
      <c r="B79" s="54" t="inlineStr">
        <is>
          <t>D</t>
        </is>
      </c>
      <c r="C79" s="55" t="inlineStr">
        <is>
          <t>Dominion Energy</t>
        </is>
      </c>
      <c r="D79" s="78" t="inlineStr">
        <is>
          <t>L11·核电/SMR</t>
        </is>
      </c>
      <c r="E79" s="60" t="inlineStr">
        <is>
          <t>弗吉尼亚电力</t>
        </is>
      </c>
      <c r="F79" s="67" t="inlineStr">
        <is>
          <t>二线</t>
        </is>
      </c>
      <c r="G79" s="58" t="inlineStr">
        <is>
          <t>★★★☆☆</t>
        </is>
      </c>
      <c r="H79" s="59" t="inlineStr">
        <is>
          <t>卫星</t>
        </is>
      </c>
      <c r="I79" s="60" t="inlineStr">
        <is>
          <t>弗州 IDC 电力主供应商；核电延寿+SMR</t>
        </is>
      </c>
      <c r="J79" s="55" t="inlineStr">
        <is>
          <t>IDC 负荷接入；SMR 推进</t>
        </is>
      </c>
      <c r="K79" s="55" t="inlineStr">
        <is>
          <t>—</t>
        </is>
      </c>
      <c r="L79" s="60" t="inlineStr">
        <is>
          <t>监管</t>
        </is>
      </c>
      <c r="M79" s="61" t="n"/>
      <c r="N79" s="61" t="n"/>
      <c r="O79" s="61" t="n"/>
      <c r="P79" s="62">
        <f>IF(N79="","",IFERROR((M79-N79)/N79,""))</f>
        <v/>
      </c>
      <c r="Q79" s="63" t="n"/>
      <c r="R79" s="63" t="n"/>
      <c r="S79" s="64" t="n"/>
      <c r="T79" s="65" t="n"/>
      <c r="U79" s="65" t="n"/>
      <c r="V79" s="63" t="n"/>
      <c r="W79" s="63" t="n"/>
      <c r="X79" s="63" t="n"/>
      <c r="Y79" s="63" t="n"/>
      <c r="Z79" s="62">
        <f>IF(COUNT(V79:Y79)=0,"",ROUND(AVERAGE(V79:Y79),1))</f>
        <v/>
      </c>
      <c r="AA79" s="62">
        <f>IF(COUNT(Q79:R79)=0,"",ROUND(AVERAGE(Q79:R79),1))</f>
        <v/>
      </c>
      <c r="AB79" s="62">
        <f>IF(AND(Z79="",AA79=""),"",ROUND(IFERROR(Z79,0)*0.6+IFERROR(AA79,0)*0.4,1))</f>
        <v/>
      </c>
      <c r="AC79" s="66" t="n"/>
    </row>
    <row r="80" ht="48" customHeight="1" s="45">
      <c r="A80" s="54" t="n">
        <v>79</v>
      </c>
      <c r="B80" s="54" t="inlineStr">
        <is>
          <t>DUK</t>
        </is>
      </c>
      <c r="C80" s="55" t="inlineStr">
        <is>
          <t>Duke Energy</t>
        </is>
      </c>
      <c r="D80" s="78" t="inlineStr">
        <is>
          <t>L11·核电/SMR</t>
        </is>
      </c>
      <c r="E80" s="60" t="inlineStr">
        <is>
          <t>东南部公用</t>
        </is>
      </c>
      <c r="F80" s="67" t="inlineStr">
        <is>
          <t>二线</t>
        </is>
      </c>
      <c r="G80" s="58" t="inlineStr">
        <is>
          <t>★★★☆☆</t>
        </is>
      </c>
      <c r="H80" s="59" t="inlineStr">
        <is>
          <t>卫星</t>
        </is>
      </c>
      <c r="I80" s="60" t="inlineStr">
        <is>
          <t>卡州/印州 IDC 电力；SMR 计划</t>
        </is>
      </c>
      <c r="J80" s="60" t="inlineStr">
        <is>
          <t>费率案；负荷增长</t>
        </is>
      </c>
      <c r="K80" s="55" t="inlineStr">
        <is>
          <t>—</t>
        </is>
      </c>
      <c r="L80" s="60" t="inlineStr">
        <is>
          <t>监管</t>
        </is>
      </c>
      <c r="M80" s="61" t="n"/>
      <c r="N80" s="61" t="n"/>
      <c r="O80" s="61" t="n"/>
      <c r="P80" s="62">
        <f>IF(N80="","",IFERROR((M80-N80)/N80,""))</f>
        <v/>
      </c>
      <c r="Q80" s="63" t="n"/>
      <c r="R80" s="63" t="n"/>
      <c r="S80" s="64" t="n"/>
      <c r="T80" s="65" t="n"/>
      <c r="U80" s="65" t="n"/>
      <c r="V80" s="63" t="n"/>
      <c r="W80" s="63" t="n"/>
      <c r="X80" s="63" t="n"/>
      <c r="Y80" s="63" t="n"/>
      <c r="Z80" s="62">
        <f>IF(COUNT(V80:Y80)=0,"",ROUND(AVERAGE(V80:Y80),1))</f>
        <v/>
      </c>
      <c r="AA80" s="62">
        <f>IF(COUNT(Q80:R80)=0,"",ROUND(AVERAGE(Q80:R80),1))</f>
        <v/>
      </c>
      <c r="AB80" s="62">
        <f>IF(AND(Z80="",AA80=""),"",ROUND(IFERROR(Z80,0)*0.6+IFERROR(AA80,0)*0.4,1))</f>
        <v/>
      </c>
      <c r="AC80" s="66" t="n"/>
    </row>
    <row r="81" ht="48" customHeight="1" s="45">
      <c r="A81" s="54" t="n">
        <v>80</v>
      </c>
      <c r="B81" s="54" t="inlineStr">
        <is>
          <t>SO</t>
        </is>
      </c>
      <c r="C81" s="55" t="inlineStr">
        <is>
          <t>Southern Co</t>
        </is>
      </c>
      <c r="D81" s="78" t="inlineStr">
        <is>
          <t>L11·核电/SMR</t>
        </is>
      </c>
      <c r="E81" s="55" t="inlineStr">
        <is>
          <t>Vogtle 新核电</t>
        </is>
      </c>
      <c r="F81" s="67" t="inlineStr">
        <is>
          <t>二线</t>
        </is>
      </c>
      <c r="G81" s="58" t="inlineStr">
        <is>
          <t>★★★☆☆</t>
        </is>
      </c>
      <c r="H81" s="59" t="inlineStr">
        <is>
          <t>卫星</t>
        </is>
      </c>
      <c r="I81" s="55" t="inlineStr">
        <is>
          <t>Vogtle 3/4 投产；东南负荷</t>
        </is>
      </c>
      <c r="J81" s="60" t="inlineStr">
        <is>
          <t>费率与负荷</t>
        </is>
      </c>
      <c r="K81" s="55" t="inlineStr">
        <is>
          <t>—</t>
        </is>
      </c>
      <c r="L81" s="60" t="inlineStr">
        <is>
          <t>监管</t>
        </is>
      </c>
      <c r="M81" s="61" t="n"/>
      <c r="N81" s="61" t="n"/>
      <c r="O81" s="61" t="n"/>
      <c r="P81" s="62">
        <f>IF(N81="","",IFERROR((M81-N81)/N81,""))</f>
        <v/>
      </c>
      <c r="Q81" s="63" t="n"/>
      <c r="R81" s="63" t="n"/>
      <c r="S81" s="64" t="n"/>
      <c r="T81" s="65" t="n"/>
      <c r="U81" s="65" t="n"/>
      <c r="V81" s="63" t="n"/>
      <c r="W81" s="63" t="n"/>
      <c r="X81" s="63" t="n"/>
      <c r="Y81" s="63" t="n"/>
      <c r="Z81" s="62">
        <f>IF(COUNT(V81:Y81)=0,"",ROUND(AVERAGE(V81:Y81),1))</f>
        <v/>
      </c>
      <c r="AA81" s="62">
        <f>IF(COUNT(Q81:R81)=0,"",ROUND(AVERAGE(Q81:R81),1))</f>
        <v/>
      </c>
      <c r="AB81" s="62">
        <f>IF(AND(Z81="",AA81=""),"",ROUND(IFERROR(Z81,0)*0.6+IFERROR(AA81,0)*0.4,1))</f>
        <v/>
      </c>
      <c r="AC81" s="66" t="n"/>
    </row>
    <row r="82" ht="48" customHeight="1" s="45">
      <c r="A82" s="54" t="n">
        <v>81</v>
      </c>
      <c r="B82" s="54" t="inlineStr">
        <is>
          <t>SMR</t>
        </is>
      </c>
      <c r="C82" s="55" t="inlineStr">
        <is>
          <t>NuScale Power</t>
        </is>
      </c>
      <c r="D82" s="78" t="inlineStr">
        <is>
          <t>L11·核电/SMR</t>
        </is>
      </c>
      <c r="E82" s="55" t="inlineStr">
        <is>
          <t>SMR 第一股</t>
        </is>
      </c>
      <c r="F82" s="73" t="inlineStr">
        <is>
          <t>概念</t>
        </is>
      </c>
      <c r="G82" s="58" t="inlineStr">
        <is>
          <t>★★★★★</t>
        </is>
      </c>
      <c r="H82" s="59" t="inlineStr">
        <is>
          <t>题材交易</t>
        </is>
      </c>
      <c r="I82" s="60" t="inlineStr">
        <is>
          <t>美国唯一 NRC 设计认证 SMR；ENTRA1 订单</t>
        </is>
      </c>
      <c r="J82" s="60" t="inlineStr">
        <is>
          <t>首个商业项目落地</t>
        </is>
      </c>
      <c r="K82" s="55" t="inlineStr">
        <is>
          <t>—</t>
        </is>
      </c>
      <c r="L82" s="60" t="inlineStr">
        <is>
          <t>商业化推迟</t>
        </is>
      </c>
      <c r="M82" s="61" t="n"/>
      <c r="N82" s="61" t="n"/>
      <c r="O82" s="61" t="n"/>
      <c r="P82" s="62">
        <f>IF(N82="","",IFERROR((M82-N82)/N82,""))</f>
        <v/>
      </c>
      <c r="Q82" s="63" t="n"/>
      <c r="R82" s="63" t="n"/>
      <c r="S82" s="64" t="n"/>
      <c r="T82" s="65" t="n"/>
      <c r="U82" s="65" t="n"/>
      <c r="V82" s="63" t="n"/>
      <c r="W82" s="63" t="n"/>
      <c r="X82" s="63" t="n"/>
      <c r="Y82" s="63" t="n"/>
      <c r="Z82" s="62">
        <f>IF(COUNT(V82:Y82)=0,"",ROUND(AVERAGE(V82:Y82),1))</f>
        <v/>
      </c>
      <c r="AA82" s="62">
        <f>IF(COUNT(Q82:R82)=0,"",ROUND(AVERAGE(Q82:R82),1))</f>
        <v/>
      </c>
      <c r="AB82" s="62">
        <f>IF(AND(Z82="",AA82=""),"",ROUND(IFERROR(Z82,0)*0.6+IFERROR(AA82,0)*0.4,1))</f>
        <v/>
      </c>
      <c r="AC82" s="66" t="n"/>
    </row>
    <row r="83" ht="48" customHeight="1" s="45">
      <c r="A83" s="54" t="n">
        <v>82</v>
      </c>
      <c r="B83" s="54" t="inlineStr">
        <is>
          <t>OKLO</t>
        </is>
      </c>
      <c r="C83" s="55" t="inlineStr">
        <is>
          <t>Oklo</t>
        </is>
      </c>
      <c r="D83" s="78" t="inlineStr">
        <is>
          <t>L11·核电/SMR</t>
        </is>
      </c>
      <c r="E83" s="60" t="inlineStr">
        <is>
          <t>微堆+Sam Altman</t>
        </is>
      </c>
      <c r="F83" s="73" t="inlineStr">
        <is>
          <t>概念</t>
        </is>
      </c>
      <c r="G83" s="58" t="inlineStr">
        <is>
          <t>★★★★★</t>
        </is>
      </c>
      <c r="H83" s="59" t="inlineStr">
        <is>
          <t>题材交易</t>
        </is>
      </c>
      <c r="I83" s="60" t="inlineStr">
        <is>
          <t>微堆+SaaS 化电力售卖</t>
        </is>
      </c>
      <c r="J83" s="60" t="inlineStr">
        <is>
          <t>首堆 NRC 批准</t>
        </is>
      </c>
      <c r="K83" s="55" t="inlineStr">
        <is>
          <t>—</t>
        </is>
      </c>
      <c r="L83" s="60" t="inlineStr">
        <is>
          <t>无营收</t>
        </is>
      </c>
      <c r="M83" s="61" t="n"/>
      <c r="N83" s="61" t="n"/>
      <c r="O83" s="61" t="n"/>
      <c r="P83" s="62">
        <f>IF(N83="","",IFERROR((M83-N83)/N83,""))</f>
        <v/>
      </c>
      <c r="Q83" s="63" t="n"/>
      <c r="R83" s="63" t="n"/>
      <c r="S83" s="64" t="n"/>
      <c r="T83" s="65" t="n"/>
      <c r="U83" s="65" t="n"/>
      <c r="V83" s="63" t="n"/>
      <c r="W83" s="63" t="n"/>
      <c r="X83" s="63" t="n"/>
      <c r="Y83" s="63" t="n"/>
      <c r="Z83" s="62">
        <f>IF(COUNT(V83:Y83)=0,"",ROUND(AVERAGE(V83:Y83),1))</f>
        <v/>
      </c>
      <c r="AA83" s="62">
        <f>IF(COUNT(Q83:R83)=0,"",ROUND(AVERAGE(Q83:R83),1))</f>
        <v/>
      </c>
      <c r="AB83" s="62">
        <f>IF(AND(Z83="",AA83=""),"",ROUND(IFERROR(Z83,0)*0.6+IFERROR(AA83,0)*0.4,1))</f>
        <v/>
      </c>
      <c r="AC83" s="66" t="n"/>
    </row>
    <row r="84" ht="48" customHeight="1" s="45">
      <c r="A84" s="54" t="n">
        <v>83</v>
      </c>
      <c r="B84" s="54" t="inlineStr">
        <is>
          <t>NNE</t>
        </is>
      </c>
      <c r="C84" s="55" t="inlineStr">
        <is>
          <t>Nano Nuclear</t>
        </is>
      </c>
      <c r="D84" s="78" t="inlineStr">
        <is>
          <t>L11·核电/SMR</t>
        </is>
      </c>
      <c r="E84" s="60" t="inlineStr">
        <is>
          <t>微堆</t>
        </is>
      </c>
      <c r="F84" s="73" t="inlineStr">
        <is>
          <t>概念</t>
        </is>
      </c>
      <c r="G84" s="58" t="inlineStr">
        <is>
          <t>★★★★☆</t>
        </is>
      </c>
      <c r="H84" s="59" t="inlineStr">
        <is>
          <t>题材交易</t>
        </is>
      </c>
      <c r="I84" s="60" t="inlineStr">
        <is>
          <t>微堆+核燃料服务概念</t>
        </is>
      </c>
      <c r="J84" s="60" t="inlineStr">
        <is>
          <t>里程碑公告</t>
        </is>
      </c>
      <c r="K84" s="55" t="inlineStr">
        <is>
          <t>—</t>
        </is>
      </c>
      <c r="L84" s="60" t="inlineStr">
        <is>
          <t>无营收</t>
        </is>
      </c>
      <c r="M84" s="61" t="n"/>
      <c r="N84" s="61" t="n"/>
      <c r="O84" s="61" t="n"/>
      <c r="P84" s="62">
        <f>IF(N84="","",IFERROR((M84-N84)/N84,""))</f>
        <v/>
      </c>
      <c r="Q84" s="63" t="n"/>
      <c r="R84" s="63" t="n"/>
      <c r="S84" s="64" t="n"/>
      <c r="T84" s="65" t="n"/>
      <c r="U84" s="65" t="n"/>
      <c r="V84" s="63" t="n"/>
      <c r="W84" s="63" t="n"/>
      <c r="X84" s="63" t="n"/>
      <c r="Y84" s="63" t="n"/>
      <c r="Z84" s="62">
        <f>IF(COUNT(V84:Y84)=0,"",ROUND(AVERAGE(V84:Y84),1))</f>
        <v/>
      </c>
      <c r="AA84" s="62">
        <f>IF(COUNT(Q84:R84)=0,"",ROUND(AVERAGE(Q84:R84),1))</f>
        <v/>
      </c>
      <c r="AB84" s="62">
        <f>IF(AND(Z84="",AA84=""),"",ROUND(IFERROR(Z84,0)*0.6+IFERROR(AA84,0)*0.4,1))</f>
        <v/>
      </c>
      <c r="AC84" s="66" t="n"/>
    </row>
    <row r="85" ht="48" customHeight="1" s="45">
      <c r="A85" s="54" t="n">
        <v>84</v>
      </c>
      <c r="B85" s="54" t="inlineStr">
        <is>
          <t>BWXT</t>
        </is>
      </c>
      <c r="C85" s="55" t="inlineStr">
        <is>
          <t>BWX Technologies</t>
        </is>
      </c>
      <c r="D85" s="78" t="inlineStr">
        <is>
          <t>L11·核电/SMR</t>
        </is>
      </c>
      <c r="E85" s="60" t="inlineStr">
        <is>
          <t>海军核+SMR 制造</t>
        </is>
      </c>
      <c r="F85" s="67" t="inlineStr">
        <is>
          <t>二线</t>
        </is>
      </c>
      <c r="G85" s="58" t="inlineStr">
        <is>
          <t>★★★★☆</t>
        </is>
      </c>
      <c r="H85" s="59" t="inlineStr">
        <is>
          <t>卫星</t>
        </is>
      </c>
      <c r="I85" s="60" t="inlineStr">
        <is>
          <t>海军核电独家+SMR 反应堆制造</t>
        </is>
      </c>
      <c r="J85" s="55" t="inlineStr">
        <is>
          <t>SMR 订单</t>
        </is>
      </c>
      <c r="K85" s="55" t="inlineStr">
        <is>
          <t>—</t>
        </is>
      </c>
      <c r="L85" s="60" t="inlineStr">
        <is>
          <t>国防周期</t>
        </is>
      </c>
      <c r="M85" s="61" t="n"/>
      <c r="N85" s="61" t="n"/>
      <c r="O85" s="61" t="n"/>
      <c r="P85" s="62">
        <f>IF(N85="","",IFERROR((M85-N85)/N85,""))</f>
        <v/>
      </c>
      <c r="Q85" s="63" t="n"/>
      <c r="R85" s="63" t="n"/>
      <c r="S85" s="64" t="n"/>
      <c r="T85" s="65" t="n"/>
      <c r="U85" s="65" t="n"/>
      <c r="V85" s="63" t="n"/>
      <c r="W85" s="63" t="n"/>
      <c r="X85" s="63" t="n"/>
      <c r="Y85" s="63" t="n"/>
      <c r="Z85" s="62">
        <f>IF(COUNT(V85:Y85)=0,"",ROUND(AVERAGE(V85:Y85),1))</f>
        <v/>
      </c>
      <c r="AA85" s="62">
        <f>IF(COUNT(Q85:R85)=0,"",ROUND(AVERAGE(Q85:R85),1))</f>
        <v/>
      </c>
      <c r="AB85" s="62">
        <f>IF(AND(Z85="",AA85=""),"",ROUND(IFERROR(Z85,0)*0.6+IFERROR(AA85,0)*0.4,1))</f>
        <v/>
      </c>
      <c r="AC85" s="66" t="n"/>
    </row>
    <row r="86" ht="48" customHeight="1" s="45">
      <c r="A86" s="54" t="n">
        <v>85</v>
      </c>
      <c r="B86" s="54" t="inlineStr">
        <is>
          <t>LEU</t>
        </is>
      </c>
      <c r="C86" s="55" t="inlineStr">
        <is>
          <t>Centrus Energy</t>
        </is>
      </c>
      <c r="D86" s="78" t="inlineStr">
        <is>
          <t>L11·核电/SMR</t>
        </is>
      </c>
      <c r="E86" s="55" t="inlineStr">
        <is>
          <t>HALEU 浓缩铀</t>
        </is>
      </c>
      <c r="F86" s="73" t="inlineStr">
        <is>
          <t>概念</t>
        </is>
      </c>
      <c r="G86" s="58" t="inlineStr">
        <is>
          <t>★★★★☆</t>
        </is>
      </c>
      <c r="H86" s="59" t="inlineStr">
        <is>
          <t>题材交易</t>
        </is>
      </c>
      <c r="I86" s="60" t="inlineStr">
        <is>
          <t>美国 HALEU 唯一玩家；SMR 燃料卡位</t>
        </is>
      </c>
      <c r="J86" s="55" t="inlineStr">
        <is>
          <t>HALEU 产能扩张</t>
        </is>
      </c>
      <c r="K86" s="60" t="inlineStr">
        <is>
          <t>中核</t>
        </is>
      </c>
      <c r="L86" s="60" t="inlineStr">
        <is>
          <t>政策依赖</t>
        </is>
      </c>
      <c r="M86" s="61" t="n"/>
      <c r="N86" s="61" t="n"/>
      <c r="O86" s="61" t="n"/>
      <c r="P86" s="62">
        <f>IF(N86="","",IFERROR((M86-N86)/N86,""))</f>
        <v/>
      </c>
      <c r="Q86" s="63" t="n"/>
      <c r="R86" s="63" t="n"/>
      <c r="S86" s="64" t="n"/>
      <c r="T86" s="65" t="n"/>
      <c r="U86" s="65" t="n"/>
      <c r="V86" s="63" t="n"/>
      <c r="W86" s="63" t="n"/>
      <c r="X86" s="63" t="n"/>
      <c r="Y86" s="63" t="n"/>
      <c r="Z86" s="62">
        <f>IF(COUNT(V86:Y86)=0,"",ROUND(AVERAGE(V86:Y86),1))</f>
        <v/>
      </c>
      <c r="AA86" s="62">
        <f>IF(COUNT(Q86:R86)=0,"",ROUND(AVERAGE(Q86:R86),1))</f>
        <v/>
      </c>
      <c r="AB86" s="62">
        <f>IF(AND(Z86="",AA86=""),"",ROUND(IFERROR(Z86,0)*0.6+IFERROR(AA86,0)*0.4,1))</f>
        <v/>
      </c>
      <c r="AC86" s="66" t="n"/>
    </row>
    <row r="87" ht="48" customHeight="1" s="45">
      <c r="A87" s="54" t="n">
        <v>86</v>
      </c>
      <c r="B87" s="54" t="inlineStr">
        <is>
          <t>CCJ</t>
        </is>
      </c>
      <c r="C87" s="55" t="inlineStr">
        <is>
          <t>Cameco</t>
        </is>
      </c>
      <c r="D87" s="78" t="inlineStr">
        <is>
          <t>L11·核电/SMR</t>
        </is>
      </c>
      <c r="E87" s="60" t="inlineStr">
        <is>
          <t>全球铀矿龙头</t>
        </is>
      </c>
      <c r="F87" s="57" t="inlineStr">
        <is>
          <t>龙头</t>
        </is>
      </c>
      <c r="G87" s="58" t="inlineStr">
        <is>
          <t>★★★★☆</t>
        </is>
      </c>
      <c r="H87" s="59" t="inlineStr">
        <is>
          <t>卫星</t>
        </is>
      </c>
      <c r="I87" s="60" t="inlineStr">
        <is>
          <t>铀价上行+长协价提升+Westinghouse 协同</t>
        </is>
      </c>
      <c r="J87" s="60" t="inlineStr">
        <is>
          <t>铀价；签新长协</t>
        </is>
      </c>
      <c r="K87" s="60" t="inlineStr">
        <is>
          <t>中广核</t>
        </is>
      </c>
      <c r="L87" s="60" t="inlineStr">
        <is>
          <t>商品价格</t>
        </is>
      </c>
      <c r="M87" s="61" t="n"/>
      <c r="N87" s="61" t="n"/>
      <c r="O87" s="61" t="n"/>
      <c r="P87" s="62">
        <f>IF(N87="","",IFERROR((M87-N87)/N87,""))</f>
        <v/>
      </c>
      <c r="Q87" s="63" t="n"/>
      <c r="R87" s="63" t="n"/>
      <c r="S87" s="64" t="n"/>
      <c r="T87" s="65" t="n"/>
      <c r="U87" s="65" t="n"/>
      <c r="V87" s="63" t="n"/>
      <c r="W87" s="63" t="n"/>
      <c r="X87" s="63" t="n"/>
      <c r="Y87" s="63" t="n"/>
      <c r="Z87" s="62">
        <f>IF(COUNT(V87:Y87)=0,"",ROUND(AVERAGE(V87:Y87),1))</f>
        <v/>
      </c>
      <c r="AA87" s="62">
        <f>IF(COUNT(Q87:R87)=0,"",ROUND(AVERAGE(Q87:R87),1))</f>
        <v/>
      </c>
      <c r="AB87" s="62">
        <f>IF(AND(Z87="",AA87=""),"",ROUND(IFERROR(Z87,0)*0.6+IFERROR(AA87,0)*0.4,1))</f>
        <v/>
      </c>
      <c r="AC87" s="66" t="n"/>
    </row>
    <row r="88" ht="48" customHeight="1" s="45">
      <c r="A88" s="54" t="n">
        <v>87</v>
      </c>
      <c r="B88" s="54" t="inlineStr">
        <is>
          <t>UEC</t>
        </is>
      </c>
      <c r="C88" s="55" t="inlineStr">
        <is>
          <t>Uranium Energy</t>
        </is>
      </c>
      <c r="D88" s="78" t="inlineStr">
        <is>
          <t>L11·核电/SMR</t>
        </is>
      </c>
      <c r="E88" s="60" t="inlineStr">
        <is>
          <t>美国铀矿</t>
        </is>
      </c>
      <c r="F88" s="67" t="inlineStr">
        <is>
          <t>二线</t>
        </is>
      </c>
      <c r="G88" s="58" t="inlineStr">
        <is>
          <t>★★★★☆</t>
        </is>
      </c>
      <c r="H88" s="59" t="inlineStr">
        <is>
          <t>题材交易</t>
        </is>
      </c>
      <c r="I88" s="60" t="inlineStr">
        <is>
          <t>美国本土铀矿+ISR 工艺</t>
        </is>
      </c>
      <c r="J88" s="60" t="inlineStr">
        <is>
          <t>投产节奏</t>
        </is>
      </c>
      <c r="K88" s="55" t="inlineStr">
        <is>
          <t>—</t>
        </is>
      </c>
      <c r="L88" s="60" t="inlineStr">
        <is>
          <t>周期</t>
        </is>
      </c>
      <c r="M88" s="61" t="n"/>
      <c r="N88" s="61" t="n"/>
      <c r="O88" s="61" t="n"/>
      <c r="P88" s="62">
        <f>IF(N88="","",IFERROR((M88-N88)/N88,""))</f>
        <v/>
      </c>
      <c r="Q88" s="63" t="n"/>
      <c r="R88" s="63" t="n"/>
      <c r="S88" s="64" t="n"/>
      <c r="T88" s="65" t="n"/>
      <c r="U88" s="65" t="n"/>
      <c r="V88" s="63" t="n"/>
      <c r="W88" s="63" t="n"/>
      <c r="X88" s="63" t="n"/>
      <c r="Y88" s="63" t="n"/>
      <c r="Z88" s="62">
        <f>IF(COUNT(V88:Y88)=0,"",ROUND(AVERAGE(V88:Y88),1))</f>
        <v/>
      </c>
      <c r="AA88" s="62">
        <f>IF(COUNT(Q88:R88)=0,"",ROUND(AVERAGE(Q88:R88),1))</f>
        <v/>
      </c>
      <c r="AB88" s="62">
        <f>IF(AND(Z88="",AA88=""),"",ROUND(IFERROR(Z88,0)*0.6+IFERROR(AA88,0)*0.4,1))</f>
        <v/>
      </c>
      <c r="AC88" s="66" t="n"/>
    </row>
    <row r="89" ht="48" customHeight="1" s="45">
      <c r="A89" s="54" t="n">
        <v>88</v>
      </c>
      <c r="B89" s="54" t="inlineStr">
        <is>
          <t>DNN</t>
        </is>
      </c>
      <c r="C89" s="55" t="inlineStr">
        <is>
          <t>Denison Mines</t>
        </is>
      </c>
      <c r="D89" s="78" t="inlineStr">
        <is>
          <t>L11·核电/SMR</t>
        </is>
      </c>
      <c r="E89" s="60" t="inlineStr">
        <is>
          <t>加拿大铀矿</t>
        </is>
      </c>
      <c r="F89" s="67" t="inlineStr">
        <is>
          <t>二线</t>
        </is>
      </c>
      <c r="G89" s="58" t="inlineStr">
        <is>
          <t>★★★★☆</t>
        </is>
      </c>
      <c r="H89" s="59" t="inlineStr">
        <is>
          <t>题材交易</t>
        </is>
      </c>
      <c r="I89" s="55" t="inlineStr">
        <is>
          <t>Wheeler River 项目+实物铀持仓</t>
        </is>
      </c>
      <c r="J89" s="60" t="inlineStr">
        <is>
          <t>项目推进</t>
        </is>
      </c>
      <c r="K89" s="55" t="inlineStr">
        <is>
          <t>—</t>
        </is>
      </c>
      <c r="L89" s="60" t="inlineStr">
        <is>
          <t>周期</t>
        </is>
      </c>
      <c r="M89" s="61" t="n"/>
      <c r="N89" s="61" t="n"/>
      <c r="O89" s="61" t="n"/>
      <c r="P89" s="62">
        <f>IF(N89="","",IFERROR((M89-N89)/N89,""))</f>
        <v/>
      </c>
      <c r="Q89" s="63" t="n"/>
      <c r="R89" s="63" t="n"/>
      <c r="S89" s="64" t="n"/>
      <c r="T89" s="65" t="n"/>
      <c r="U89" s="65" t="n"/>
      <c r="V89" s="63" t="n"/>
      <c r="W89" s="63" t="n"/>
      <c r="X89" s="63" t="n"/>
      <c r="Y89" s="63" t="n"/>
      <c r="Z89" s="62">
        <f>IF(COUNT(V89:Y89)=0,"",ROUND(AVERAGE(V89:Y89),1))</f>
        <v/>
      </c>
      <c r="AA89" s="62">
        <f>IF(COUNT(Q89:R89)=0,"",ROUND(AVERAGE(Q89:R89),1))</f>
        <v/>
      </c>
      <c r="AB89" s="62">
        <f>IF(AND(Z89="",AA89=""),"",ROUND(IFERROR(Z89,0)*0.6+IFERROR(AA89,0)*0.4,1))</f>
        <v/>
      </c>
      <c r="AC89" s="66" t="n"/>
    </row>
    <row r="90" ht="48" customHeight="1" s="45">
      <c r="A90" s="54" t="n">
        <v>89</v>
      </c>
      <c r="B90" s="54" t="inlineStr">
        <is>
          <t>BEP</t>
        </is>
      </c>
      <c r="C90" s="55" t="inlineStr">
        <is>
          <t>Brookfield Renew</t>
        </is>
      </c>
      <c r="D90" s="79" t="inlineStr">
        <is>
          <t>L12·水电/可再生</t>
        </is>
      </c>
      <c r="E90" s="60" t="inlineStr">
        <is>
          <t>全球水电+风光</t>
        </is>
      </c>
      <c r="F90" s="57" t="inlineStr">
        <is>
          <t>龙头</t>
        </is>
      </c>
      <c r="G90" s="58" t="inlineStr">
        <is>
          <t>★★★★☆</t>
        </is>
      </c>
      <c r="H90" s="59" t="inlineStr">
        <is>
          <t>核心配置</t>
        </is>
      </c>
      <c r="I90" s="60" t="inlineStr">
        <is>
          <t>全球水电基本盘+hyperscaler 长期 PPA 框架</t>
        </is>
      </c>
      <c r="J90" s="55" t="inlineStr">
        <is>
          <t>MSFT 框架协议落地</t>
        </is>
      </c>
      <c r="K90" s="60" t="inlineStr">
        <is>
          <t>长江电力</t>
        </is>
      </c>
      <c r="L90" s="60" t="inlineStr">
        <is>
          <t>利率</t>
        </is>
      </c>
      <c r="M90" s="61" t="n"/>
      <c r="N90" s="61" t="n"/>
      <c r="O90" s="61" t="n"/>
      <c r="P90" s="62">
        <f>IF(N90="","",IFERROR((M90-N90)/N90,""))</f>
        <v/>
      </c>
      <c r="Q90" s="63" t="n"/>
      <c r="R90" s="63" t="n"/>
      <c r="S90" s="64" t="n"/>
      <c r="T90" s="65" t="n"/>
      <c r="U90" s="65" t="n"/>
      <c r="V90" s="63" t="n"/>
      <c r="W90" s="63" t="n"/>
      <c r="X90" s="63" t="n"/>
      <c r="Y90" s="63" t="n"/>
      <c r="Z90" s="62">
        <f>IF(COUNT(V90:Y90)=0,"",ROUND(AVERAGE(V90:Y90),1))</f>
        <v/>
      </c>
      <c r="AA90" s="62">
        <f>IF(COUNT(Q90:R90)=0,"",ROUND(AVERAGE(Q90:R90),1))</f>
        <v/>
      </c>
      <c r="AB90" s="62">
        <f>IF(AND(Z90="",AA90=""),"",ROUND(IFERROR(Z90,0)*0.6+IFERROR(AA90,0)*0.4,1))</f>
        <v/>
      </c>
      <c r="AC90" s="66" t="n"/>
    </row>
    <row r="91" ht="48" customHeight="1" s="45">
      <c r="A91" s="54" t="n">
        <v>90</v>
      </c>
      <c r="B91" s="54" t="inlineStr">
        <is>
          <t>BEPC</t>
        </is>
      </c>
      <c r="C91" s="55" t="inlineStr">
        <is>
          <t>Brookfield Ren Cp</t>
        </is>
      </c>
      <c r="D91" s="79" t="inlineStr">
        <is>
          <t>L12·水电/可再生</t>
        </is>
      </c>
      <c r="E91" s="60" t="inlineStr">
        <is>
          <t>同 BEP</t>
        </is>
      </c>
      <c r="F91" s="57" t="inlineStr">
        <is>
          <t>龙头</t>
        </is>
      </c>
      <c r="G91" s="58" t="inlineStr">
        <is>
          <t>★★★★☆</t>
        </is>
      </c>
      <c r="H91" s="59" t="inlineStr">
        <is>
          <t>核心配置</t>
        </is>
      </c>
      <c r="I91" s="55" t="inlineStr">
        <is>
          <t>BEP 公司制结构(适合美账户)</t>
        </is>
      </c>
      <c r="J91" s="60" t="inlineStr">
        <is>
          <t>同 BEP</t>
        </is>
      </c>
      <c r="K91" s="60" t="inlineStr">
        <is>
          <t>长江电力</t>
        </is>
      </c>
      <c r="L91" s="60" t="inlineStr">
        <is>
          <t>利率</t>
        </is>
      </c>
      <c r="M91" s="61" t="n"/>
      <c r="N91" s="61" t="n"/>
      <c r="O91" s="61" t="n"/>
      <c r="P91" s="62">
        <f>IF(N91="","",IFERROR((M91-N91)/N91,""))</f>
        <v/>
      </c>
      <c r="Q91" s="63" t="n"/>
      <c r="R91" s="63" t="n"/>
      <c r="S91" s="64" t="n"/>
      <c r="T91" s="65" t="n"/>
      <c r="U91" s="65" t="n"/>
      <c r="V91" s="63" t="n"/>
      <c r="W91" s="63" t="n"/>
      <c r="X91" s="63" t="n"/>
      <c r="Y91" s="63" t="n"/>
      <c r="Z91" s="62">
        <f>IF(COUNT(V91:Y91)=0,"",ROUND(AVERAGE(V91:Y91),1))</f>
        <v/>
      </c>
      <c r="AA91" s="62">
        <f>IF(COUNT(Q91:R91)=0,"",ROUND(AVERAGE(Q91:R91),1))</f>
        <v/>
      </c>
      <c r="AB91" s="62">
        <f>IF(AND(Z91="",AA91=""),"",ROUND(IFERROR(Z91,0)*0.6+IFERROR(AA91,0)*0.4,1))</f>
        <v/>
      </c>
      <c r="AC91" s="66" t="n"/>
    </row>
    <row r="92" ht="48" customHeight="1" s="45">
      <c r="A92" s="54" t="n">
        <v>91</v>
      </c>
      <c r="B92" s="54" t="inlineStr">
        <is>
          <t>NEE</t>
        </is>
      </c>
      <c r="C92" s="55" t="inlineStr">
        <is>
          <t>NextEra Energy</t>
        </is>
      </c>
      <c r="D92" s="79" t="inlineStr">
        <is>
          <t>L12·水电/可再生</t>
        </is>
      </c>
      <c r="E92" s="60" t="inlineStr">
        <is>
          <t>美国可再生龙头</t>
        </is>
      </c>
      <c r="F92" s="57" t="inlineStr">
        <is>
          <t>龙头</t>
        </is>
      </c>
      <c r="G92" s="58" t="inlineStr">
        <is>
          <t>★★★★☆</t>
        </is>
      </c>
      <c r="H92" s="59" t="inlineStr">
        <is>
          <t>核心配置</t>
        </is>
      </c>
      <c r="I92" s="60" t="inlineStr">
        <is>
          <t>佛州电力+全美最大风光开发商；hyperscaler PPA</t>
        </is>
      </c>
      <c r="J92" s="55" t="inlineStr">
        <is>
          <t>PPA 管线 GW 数</t>
        </is>
      </c>
      <c r="K92" s="55" t="inlineStr">
        <is>
          <t>—</t>
        </is>
      </c>
      <c r="L92" s="60" t="inlineStr">
        <is>
          <t>利率</t>
        </is>
      </c>
      <c r="M92" s="61" t="n"/>
      <c r="N92" s="61" t="n"/>
      <c r="O92" s="61" t="n"/>
      <c r="P92" s="62">
        <f>IF(N92="","",IFERROR((M92-N92)/N92,""))</f>
        <v/>
      </c>
      <c r="Q92" s="63" t="n"/>
      <c r="R92" s="63" t="n"/>
      <c r="S92" s="64" t="n"/>
      <c r="T92" s="65" t="n"/>
      <c r="U92" s="65" t="n"/>
      <c r="V92" s="63" t="n"/>
      <c r="W92" s="63" t="n"/>
      <c r="X92" s="63" t="n"/>
      <c r="Y92" s="63" t="n"/>
      <c r="Z92" s="62">
        <f>IF(COUNT(V92:Y92)=0,"",ROUND(AVERAGE(V92:Y92),1))</f>
        <v/>
      </c>
      <c r="AA92" s="62">
        <f>IF(COUNT(Q92:R92)=0,"",ROUND(AVERAGE(Q92:R92),1))</f>
        <v/>
      </c>
      <c r="AB92" s="62">
        <f>IF(AND(Z92="",AA92=""),"",ROUND(IFERROR(Z92,0)*0.6+IFERROR(AA92,0)*0.4,1))</f>
        <v/>
      </c>
      <c r="AC92" s="66" t="n"/>
    </row>
    <row r="93" ht="48" customHeight="1" s="45">
      <c r="A93" s="54" t="n">
        <v>92</v>
      </c>
      <c r="B93" s="54" t="inlineStr">
        <is>
          <t>AES</t>
        </is>
      </c>
      <c r="C93" s="55" t="inlineStr">
        <is>
          <t>AES Corp</t>
        </is>
      </c>
      <c r="D93" s="79" t="inlineStr">
        <is>
          <t>L12·水电/可再生</t>
        </is>
      </c>
      <c r="E93" s="60" t="inlineStr">
        <is>
          <t>全球可再生</t>
        </is>
      </c>
      <c r="F93" s="67" t="inlineStr">
        <is>
          <t>二线</t>
        </is>
      </c>
      <c r="G93" s="58" t="inlineStr">
        <is>
          <t>★★★★☆</t>
        </is>
      </c>
      <c r="H93" s="59" t="inlineStr">
        <is>
          <t>卫星</t>
        </is>
      </c>
      <c r="I93" s="60" t="inlineStr">
        <is>
          <t>数据中心定向 PPA 较多；储能规模</t>
        </is>
      </c>
      <c r="J93" s="60" t="inlineStr">
        <is>
          <t>新 PPA</t>
        </is>
      </c>
      <c r="K93" s="55" t="inlineStr">
        <is>
          <t>—</t>
        </is>
      </c>
      <c r="L93" s="60" t="inlineStr">
        <is>
          <t>利率</t>
        </is>
      </c>
      <c r="M93" s="61" t="n"/>
      <c r="N93" s="61" t="n"/>
      <c r="O93" s="61" t="n"/>
      <c r="P93" s="62">
        <f>IF(N93="","",IFERROR((M93-N93)/N93,""))</f>
        <v/>
      </c>
      <c r="Q93" s="63" t="n"/>
      <c r="R93" s="63" t="n"/>
      <c r="S93" s="64" t="n"/>
      <c r="T93" s="65" t="n"/>
      <c r="U93" s="65" t="n"/>
      <c r="V93" s="63" t="n"/>
      <c r="W93" s="63" t="n"/>
      <c r="X93" s="63" t="n"/>
      <c r="Y93" s="63" t="n"/>
      <c r="Z93" s="62">
        <f>IF(COUNT(V93:Y93)=0,"",ROUND(AVERAGE(V93:Y93),1))</f>
        <v/>
      </c>
      <c r="AA93" s="62">
        <f>IF(COUNT(Q93:R93)=0,"",ROUND(AVERAGE(Q93:R93),1))</f>
        <v/>
      </c>
      <c r="AB93" s="62">
        <f>IF(AND(Z93="",AA93=""),"",ROUND(IFERROR(Z93,0)*0.6+IFERROR(AA93,0)*0.4,1))</f>
        <v/>
      </c>
      <c r="AC93" s="66" t="n"/>
    </row>
    <row r="94" ht="48" customHeight="1" s="45">
      <c r="A94" s="54" t="n">
        <v>93</v>
      </c>
      <c r="B94" s="54" t="inlineStr">
        <is>
          <t>CWEN</t>
        </is>
      </c>
      <c r="C94" s="55" t="inlineStr">
        <is>
          <t>Clearway Energy</t>
        </is>
      </c>
      <c r="D94" s="79" t="inlineStr">
        <is>
          <t>L12·水电/可再生</t>
        </is>
      </c>
      <c r="E94" s="60" t="inlineStr">
        <is>
          <t>可再生 Yieldco</t>
        </is>
      </c>
      <c r="F94" s="67" t="inlineStr">
        <is>
          <t>二线</t>
        </is>
      </c>
      <c r="G94" s="58" t="inlineStr">
        <is>
          <t>★★★☆☆</t>
        </is>
      </c>
      <c r="H94" s="59" t="inlineStr">
        <is>
          <t>卫星</t>
        </is>
      </c>
      <c r="I94" s="60" t="inlineStr">
        <is>
          <t>可再生项目运营 yieldco</t>
        </is>
      </c>
      <c r="J94" s="55" t="inlineStr">
        <is>
          <t>PPA 续签</t>
        </is>
      </c>
      <c r="K94" s="55" t="inlineStr">
        <is>
          <t>—</t>
        </is>
      </c>
      <c r="L94" s="60" t="inlineStr">
        <is>
          <t>利率</t>
        </is>
      </c>
      <c r="M94" s="61" t="n"/>
      <c r="N94" s="61" t="n"/>
      <c r="O94" s="61" t="n"/>
      <c r="P94" s="62">
        <f>IF(N94="","",IFERROR((M94-N94)/N94,""))</f>
        <v/>
      </c>
      <c r="Q94" s="63" t="n"/>
      <c r="R94" s="63" t="n"/>
      <c r="S94" s="64" t="n"/>
      <c r="T94" s="65" t="n"/>
      <c r="U94" s="65" t="n"/>
      <c r="V94" s="63" t="n"/>
      <c r="W94" s="63" t="n"/>
      <c r="X94" s="63" t="n"/>
      <c r="Y94" s="63" t="n"/>
      <c r="Z94" s="62">
        <f>IF(COUNT(V94:Y94)=0,"",ROUND(AVERAGE(V94:Y94),1))</f>
        <v/>
      </c>
      <c r="AA94" s="62">
        <f>IF(COUNT(Q94:R94)=0,"",ROUND(AVERAGE(Q94:R94),1))</f>
        <v/>
      </c>
      <c r="AB94" s="62">
        <f>IF(AND(Z94="",AA94=""),"",ROUND(IFERROR(Z94,0)*0.6+IFERROR(AA94,0)*0.4,1))</f>
        <v/>
      </c>
      <c r="AC94" s="66" t="n"/>
    </row>
    <row r="95" ht="48" customHeight="1" s="45">
      <c r="A95" s="54" t="n">
        <v>94</v>
      </c>
      <c r="B95" s="54" t="inlineStr">
        <is>
          <t>IDA</t>
        </is>
      </c>
      <c r="C95" s="55" t="inlineStr">
        <is>
          <t>Idacorp</t>
        </is>
      </c>
      <c r="D95" s="79" t="inlineStr">
        <is>
          <t>L12·水电/可再生</t>
        </is>
      </c>
      <c r="E95" s="60" t="inlineStr">
        <is>
          <t>爱达荷水电+输配</t>
        </is>
      </c>
      <c r="F95" s="67" t="inlineStr">
        <is>
          <t>二线</t>
        </is>
      </c>
      <c r="G95" s="58" t="inlineStr">
        <is>
          <t>★★★★☆</t>
        </is>
      </c>
      <c r="H95" s="59" t="inlineStr">
        <is>
          <t>题材交易</t>
        </is>
      </c>
      <c r="I95" s="60" t="inlineStr">
        <is>
          <t>爱达荷数据中心负荷+水电基本盘</t>
        </is>
      </c>
      <c r="J95" s="60" t="inlineStr">
        <is>
          <t>费率案；负荷</t>
        </is>
      </c>
      <c r="K95" s="55" t="inlineStr">
        <is>
          <t>—</t>
        </is>
      </c>
      <c r="L95" s="60" t="inlineStr">
        <is>
          <t>西部干旱</t>
        </is>
      </c>
      <c r="M95" s="61" t="n"/>
      <c r="N95" s="61" t="n"/>
      <c r="O95" s="61" t="n"/>
      <c r="P95" s="62">
        <f>IF(N95="","",IFERROR((M95-N95)/N95,""))</f>
        <v/>
      </c>
      <c r="Q95" s="63" t="n"/>
      <c r="R95" s="63" t="n"/>
      <c r="S95" s="64" t="n"/>
      <c r="T95" s="65" t="n"/>
      <c r="U95" s="65" t="n"/>
      <c r="V95" s="63" t="n"/>
      <c r="W95" s="63" t="n"/>
      <c r="X95" s="63" t="n"/>
      <c r="Y95" s="63" t="n"/>
      <c r="Z95" s="62">
        <f>IF(COUNT(V95:Y95)=0,"",ROUND(AVERAGE(V95:Y95),1))</f>
        <v/>
      </c>
      <c r="AA95" s="62">
        <f>IF(COUNT(Q95:R95)=0,"",ROUND(AVERAGE(Q95:R95),1))</f>
        <v/>
      </c>
      <c r="AB95" s="62">
        <f>IF(AND(Z95="",AA95=""),"",ROUND(IFERROR(Z95,0)*0.6+IFERROR(AA95,0)*0.4,1))</f>
        <v/>
      </c>
      <c r="AC95" s="66" t="n"/>
    </row>
    <row r="96" ht="48" customHeight="1" s="45">
      <c r="A96" s="54" t="n">
        <v>95</v>
      </c>
      <c r="B96" s="54" t="inlineStr">
        <is>
          <t>AEP</t>
        </is>
      </c>
      <c r="C96" s="55" t="inlineStr">
        <is>
          <t>Amer Electric Pwr</t>
        </is>
      </c>
      <c r="D96" s="79" t="inlineStr">
        <is>
          <t>L12·水电/可再生</t>
        </is>
      </c>
      <c r="E96" s="60" t="inlineStr">
        <is>
          <t>中部输电+负荷</t>
        </is>
      </c>
      <c r="F96" s="67" t="inlineStr">
        <is>
          <t>二线</t>
        </is>
      </c>
      <c r="G96" s="58" t="inlineStr">
        <is>
          <t>★★★★☆</t>
        </is>
      </c>
      <c r="H96" s="59" t="inlineStr">
        <is>
          <t>卫星</t>
        </is>
      </c>
      <c r="I96" s="60" t="inlineStr">
        <is>
          <t>中西部数据中心负荷接入主供应商</t>
        </is>
      </c>
      <c r="J96" s="60" t="inlineStr">
        <is>
          <t>负荷增长 GW</t>
        </is>
      </c>
      <c r="K96" s="55" t="inlineStr">
        <is>
          <t>—</t>
        </is>
      </c>
      <c r="L96" s="60" t="inlineStr">
        <is>
          <t>费率审批</t>
        </is>
      </c>
      <c r="M96" s="61" t="n"/>
      <c r="N96" s="61" t="n"/>
      <c r="O96" s="61" t="n"/>
      <c r="P96" s="62">
        <f>IF(N96="","",IFERROR((M96-N96)/N96,""))</f>
        <v/>
      </c>
      <c r="Q96" s="63" t="n"/>
      <c r="R96" s="63" t="n"/>
      <c r="S96" s="64" t="n"/>
      <c r="T96" s="65" t="n"/>
      <c r="U96" s="65" t="n"/>
      <c r="V96" s="63" t="n"/>
      <c r="W96" s="63" t="n"/>
      <c r="X96" s="63" t="n"/>
      <c r="Y96" s="63" t="n"/>
      <c r="Z96" s="62">
        <f>IF(COUNT(V96:Y96)=0,"",ROUND(AVERAGE(V96:Y96),1))</f>
        <v/>
      </c>
      <c r="AA96" s="62">
        <f>IF(COUNT(Q96:R96)=0,"",ROUND(AVERAGE(Q96:R96),1))</f>
        <v/>
      </c>
      <c r="AB96" s="62">
        <f>IF(AND(Z96="",AA96=""),"",ROUND(IFERROR(Z96,0)*0.6+IFERROR(AA96,0)*0.4,1))</f>
        <v/>
      </c>
      <c r="AC96" s="66" t="n"/>
    </row>
    <row r="97" ht="48" customHeight="1" s="45">
      <c r="A97" s="54" t="n">
        <v>96</v>
      </c>
      <c r="B97" s="54" t="inlineStr">
        <is>
          <t>EXC</t>
        </is>
      </c>
      <c r="C97" s="55" t="inlineStr">
        <is>
          <t>Exelon</t>
        </is>
      </c>
      <c r="D97" s="79" t="inlineStr">
        <is>
          <t>L12·水电/可再生</t>
        </is>
      </c>
      <c r="E97" s="60" t="inlineStr">
        <is>
          <t>输配电(无发电)</t>
        </is>
      </c>
      <c r="F97" s="67" t="inlineStr">
        <is>
          <t>二线</t>
        </is>
      </c>
      <c r="G97" s="58" t="inlineStr">
        <is>
          <t>★★★☆☆</t>
        </is>
      </c>
      <c r="H97" s="59" t="inlineStr">
        <is>
          <t>卫星</t>
        </is>
      </c>
      <c r="I97" s="60" t="inlineStr">
        <is>
          <t>纯输配电 utility；负荷增长</t>
        </is>
      </c>
      <c r="J97" s="60" t="inlineStr">
        <is>
          <t>费率案</t>
        </is>
      </c>
      <c r="K97" s="55" t="inlineStr">
        <is>
          <t>—</t>
        </is>
      </c>
      <c r="L97" s="60" t="inlineStr">
        <is>
          <t>费率</t>
        </is>
      </c>
      <c r="M97" s="61" t="n"/>
      <c r="N97" s="61" t="n"/>
      <c r="O97" s="61" t="n"/>
      <c r="P97" s="62">
        <f>IF(N97="","",IFERROR((M97-N97)/N97,""))</f>
        <v/>
      </c>
      <c r="Q97" s="63" t="n"/>
      <c r="R97" s="63" t="n"/>
      <c r="S97" s="64" t="n"/>
      <c r="T97" s="65" t="n"/>
      <c r="U97" s="65" t="n"/>
      <c r="V97" s="63" t="n"/>
      <c r="W97" s="63" t="n"/>
      <c r="X97" s="63" t="n"/>
      <c r="Y97" s="63" t="n"/>
      <c r="Z97" s="62">
        <f>IF(COUNT(V97:Y97)=0,"",ROUND(AVERAGE(V97:Y97),1))</f>
        <v/>
      </c>
      <c r="AA97" s="62">
        <f>IF(COUNT(Q97:R97)=0,"",ROUND(AVERAGE(Q97:R97),1))</f>
        <v/>
      </c>
      <c r="AB97" s="62">
        <f>IF(AND(Z97="",AA97=""),"",ROUND(IFERROR(Z97,0)*0.6+IFERROR(AA97,0)*0.4,1))</f>
        <v/>
      </c>
      <c r="AC97" s="66" t="n"/>
    </row>
    <row r="98" ht="48" customHeight="1" s="45">
      <c r="A98" s="54" t="n">
        <v>97</v>
      </c>
      <c r="B98" s="54" t="inlineStr">
        <is>
          <t>NRG</t>
        </is>
      </c>
      <c r="C98" s="55" t="inlineStr">
        <is>
          <t>NRG Energy</t>
        </is>
      </c>
      <c r="D98" s="79" t="inlineStr">
        <is>
          <t>L12·水电/可再生</t>
        </is>
      </c>
      <c r="E98" s="60" t="inlineStr">
        <is>
          <t>零售+电源</t>
        </is>
      </c>
      <c r="F98" s="67" t="inlineStr">
        <is>
          <t>二线</t>
        </is>
      </c>
      <c r="G98" s="58" t="inlineStr">
        <is>
          <t>★★★☆☆</t>
        </is>
      </c>
      <c r="H98" s="59" t="inlineStr">
        <is>
          <t>卫星</t>
        </is>
      </c>
      <c r="I98" s="55" t="inlineStr">
        <is>
          <t>PJM/ERCOT 零售+电源；负荷涨价</t>
        </is>
      </c>
      <c r="J98" s="60" t="inlineStr">
        <is>
          <t>电价；零售价差</t>
        </is>
      </c>
      <c r="K98" s="55" t="inlineStr">
        <is>
          <t>—</t>
        </is>
      </c>
      <c r="L98" s="60" t="inlineStr">
        <is>
          <t>周期</t>
        </is>
      </c>
      <c r="M98" s="61" t="n"/>
      <c r="N98" s="61" t="n"/>
      <c r="O98" s="61" t="n"/>
      <c r="P98" s="62">
        <f>IF(N98="","",IFERROR((M98-N98)/N98,""))</f>
        <v/>
      </c>
      <c r="Q98" s="63" t="n"/>
      <c r="R98" s="63" t="n"/>
      <c r="S98" s="64" t="n"/>
      <c r="T98" s="65" t="n"/>
      <c r="U98" s="65" t="n"/>
      <c r="V98" s="63" t="n"/>
      <c r="W98" s="63" t="n"/>
      <c r="X98" s="63" t="n"/>
      <c r="Y98" s="63" t="n"/>
      <c r="Z98" s="62">
        <f>IF(COUNT(V98:Y98)=0,"",ROUND(AVERAGE(V98:Y98),1))</f>
        <v/>
      </c>
      <c r="AA98" s="62">
        <f>IF(COUNT(Q98:R98)=0,"",ROUND(AVERAGE(Q98:R98),1))</f>
        <v/>
      </c>
      <c r="AB98" s="62">
        <f>IF(AND(Z98="",AA98=""),"",ROUND(IFERROR(Z98,0)*0.6+IFERROR(AA98,0)*0.4,1))</f>
        <v/>
      </c>
      <c r="AC98" s="66" t="n"/>
    </row>
    <row r="99" ht="48" customHeight="1" s="45">
      <c r="A99" s="54" t="n">
        <v>98</v>
      </c>
      <c r="B99" s="54" t="inlineStr">
        <is>
          <t>HE</t>
        </is>
      </c>
      <c r="C99" s="55" t="inlineStr">
        <is>
          <t>Hawaiian Electric</t>
        </is>
      </c>
      <c r="D99" s="79" t="inlineStr">
        <is>
          <t>L12·水电/可再生</t>
        </is>
      </c>
      <c r="E99" s="60" t="inlineStr">
        <is>
          <t>夏威夷电力</t>
        </is>
      </c>
      <c r="F99" s="73" t="inlineStr">
        <is>
          <t>概念</t>
        </is>
      </c>
      <c r="G99" s="58" t="inlineStr">
        <is>
          <t>★★☆☆☆</t>
        </is>
      </c>
      <c r="H99" s="59" t="inlineStr">
        <is>
          <t>题材交易</t>
        </is>
      </c>
      <c r="I99" s="60" t="inlineStr">
        <is>
          <t>灾后修复+夏威夷负荷</t>
        </is>
      </c>
      <c r="J99" s="60" t="inlineStr">
        <is>
          <t>诉讼和解</t>
        </is>
      </c>
      <c r="K99" s="55" t="inlineStr">
        <is>
          <t>—</t>
        </is>
      </c>
      <c r="L99" s="60" t="inlineStr">
        <is>
          <t>火灾负债</t>
        </is>
      </c>
      <c r="M99" s="61" t="n"/>
      <c r="N99" s="61" t="n"/>
      <c r="O99" s="61" t="n"/>
      <c r="P99" s="62">
        <f>IF(N99="","",IFERROR((M99-N99)/N99,""))</f>
        <v/>
      </c>
      <c r="Q99" s="63" t="n"/>
      <c r="R99" s="63" t="n"/>
      <c r="S99" s="64" t="n"/>
      <c r="T99" s="65" t="n"/>
      <c r="U99" s="65" t="n"/>
      <c r="V99" s="63" t="n"/>
      <c r="W99" s="63" t="n"/>
      <c r="X99" s="63" t="n"/>
      <c r="Y99" s="63" t="n"/>
      <c r="Z99" s="62">
        <f>IF(COUNT(V99:Y99)=0,"",ROUND(AVERAGE(V99:Y99),1))</f>
        <v/>
      </c>
      <c r="AA99" s="62">
        <f>IF(COUNT(Q99:R99)=0,"",ROUND(AVERAGE(Q99:R99),1))</f>
        <v/>
      </c>
      <c r="AB99" s="62">
        <f>IF(AND(Z99="",AA99=""),"",ROUND(IFERROR(Z99,0)*0.6+IFERROR(AA99,0)*0.4,1))</f>
        <v/>
      </c>
      <c r="AC99" s="66" t="n"/>
    </row>
    <row r="100" ht="48" customHeight="1" s="45">
      <c r="A100" s="54" t="n">
        <v>99</v>
      </c>
      <c r="B100" s="54" t="inlineStr">
        <is>
          <t>BE</t>
        </is>
      </c>
      <c r="C100" s="55" t="inlineStr">
        <is>
          <t>Bloom Energy</t>
        </is>
      </c>
      <c r="D100" s="80" t="inlineStr">
        <is>
          <t>L13·储能/燃料电池</t>
        </is>
      </c>
      <c r="E100" s="60" t="inlineStr">
        <is>
          <t>固体氧化物燃料电池</t>
        </is>
      </c>
      <c r="F100" s="57" t="inlineStr">
        <is>
          <t>龙头</t>
        </is>
      </c>
      <c r="G100" s="58" t="inlineStr">
        <is>
          <t>★★★★★</t>
        </is>
      </c>
      <c r="H100" s="59" t="inlineStr">
        <is>
          <t>题材交易</t>
        </is>
      </c>
      <c r="I100" s="60" t="inlineStr">
        <is>
          <t>燃料电池给 IDC 现场发电；AEP/Equinix 大单</t>
        </is>
      </c>
      <c r="J100" s="55" t="inlineStr">
        <is>
          <t>AEP 等大单兑现</t>
        </is>
      </c>
      <c r="K100" s="55" t="inlineStr">
        <is>
          <t>—</t>
        </is>
      </c>
      <c r="L100" s="60" t="inlineStr">
        <is>
          <t>估值波动</t>
        </is>
      </c>
      <c r="M100" s="61" t="n"/>
      <c r="N100" s="61" t="n"/>
      <c r="O100" s="61" t="n"/>
      <c r="P100" s="62">
        <f>IF(N100="","",IFERROR((M100-N100)/N100,""))</f>
        <v/>
      </c>
      <c r="Q100" s="63" t="n"/>
      <c r="R100" s="63" t="n"/>
      <c r="S100" s="64" t="n"/>
      <c r="T100" s="65" t="n"/>
      <c r="U100" s="65" t="n"/>
      <c r="V100" s="63" t="n"/>
      <c r="W100" s="63" t="n"/>
      <c r="X100" s="63" t="n"/>
      <c r="Y100" s="63" t="n"/>
      <c r="Z100" s="62">
        <f>IF(COUNT(V100:Y100)=0,"",ROUND(AVERAGE(V100:Y100),1))</f>
        <v/>
      </c>
      <c r="AA100" s="62">
        <f>IF(COUNT(Q100:R100)=0,"",ROUND(AVERAGE(Q100:R100),1))</f>
        <v/>
      </c>
      <c r="AB100" s="62">
        <f>IF(AND(Z100="",AA100=""),"",ROUND(IFERROR(Z100,0)*0.6+IFERROR(AA100,0)*0.4,1))</f>
        <v/>
      </c>
      <c r="AC100" s="66" t="n"/>
    </row>
    <row r="101" ht="48" customHeight="1" s="45">
      <c r="A101" s="54" t="n">
        <v>100</v>
      </c>
      <c r="B101" s="54" t="inlineStr">
        <is>
          <t>FLNC</t>
        </is>
      </c>
      <c r="C101" s="55" t="inlineStr">
        <is>
          <t>Fluence Energy</t>
        </is>
      </c>
      <c r="D101" s="80" t="inlineStr">
        <is>
          <t>L13·储能/燃料电池</t>
        </is>
      </c>
      <c r="E101" s="60" t="inlineStr">
        <is>
          <t>公用级储能</t>
        </is>
      </c>
      <c r="F101" s="67" t="inlineStr">
        <is>
          <t>二线</t>
        </is>
      </c>
      <c r="G101" s="58" t="inlineStr">
        <is>
          <t>★★★★☆</t>
        </is>
      </c>
      <c r="H101" s="59" t="inlineStr">
        <is>
          <t>卫星</t>
        </is>
      </c>
      <c r="I101" s="60" t="inlineStr">
        <is>
          <t>大型储能集成商；订单 backlog 强</t>
        </is>
      </c>
      <c r="J101" s="55" t="inlineStr">
        <is>
          <t>Backlog 增长</t>
        </is>
      </c>
      <c r="K101" s="60" t="inlineStr">
        <is>
          <t>宁德时代</t>
        </is>
      </c>
      <c r="L101" s="60" t="inlineStr">
        <is>
          <t>周期</t>
        </is>
      </c>
      <c r="M101" s="61" t="n"/>
      <c r="N101" s="61" t="n"/>
      <c r="O101" s="61" t="n"/>
      <c r="P101" s="62">
        <f>IF(N101="","",IFERROR((M101-N101)/N101,""))</f>
        <v/>
      </c>
      <c r="Q101" s="63" t="n"/>
      <c r="R101" s="63" t="n"/>
      <c r="S101" s="64" t="n"/>
      <c r="T101" s="65" t="n"/>
      <c r="U101" s="65" t="n"/>
      <c r="V101" s="63" t="n"/>
      <c r="W101" s="63" t="n"/>
      <c r="X101" s="63" t="n"/>
      <c r="Y101" s="63" t="n"/>
      <c r="Z101" s="62">
        <f>IF(COUNT(V101:Y101)=0,"",ROUND(AVERAGE(V101:Y101),1))</f>
        <v/>
      </c>
      <c r="AA101" s="62">
        <f>IF(COUNT(Q101:R101)=0,"",ROUND(AVERAGE(Q101:R101),1))</f>
        <v/>
      </c>
      <c r="AB101" s="62">
        <f>IF(AND(Z101="",AA101=""),"",ROUND(IFERROR(Z101,0)*0.6+IFERROR(AA101,0)*0.4,1))</f>
        <v/>
      </c>
      <c r="AC101" s="66" t="n"/>
    </row>
    <row r="102" ht="48" customHeight="1" s="45">
      <c r="A102" s="54" t="n">
        <v>101</v>
      </c>
      <c r="B102" s="54" t="inlineStr">
        <is>
          <t>PLUG</t>
        </is>
      </c>
      <c r="C102" s="55" t="inlineStr">
        <is>
          <t>Plug Power</t>
        </is>
      </c>
      <c r="D102" s="80" t="inlineStr">
        <is>
          <t>L13·储能/燃料电池</t>
        </is>
      </c>
      <c r="E102" s="60" t="inlineStr">
        <is>
          <t>氢燃料电池</t>
        </is>
      </c>
      <c r="F102" s="73" t="inlineStr">
        <is>
          <t>概念</t>
        </is>
      </c>
      <c r="G102" s="58" t="inlineStr">
        <is>
          <t>★★☆☆☆</t>
        </is>
      </c>
      <c r="H102" s="59" t="inlineStr">
        <is>
          <t>题材交易</t>
        </is>
      </c>
      <c r="I102" s="60" t="inlineStr">
        <is>
          <t>氢能+电堆；现金流紧张</t>
        </is>
      </c>
      <c r="J102" s="55" t="inlineStr">
        <is>
          <t>DOE 贷款落地</t>
        </is>
      </c>
      <c r="K102" s="55" t="inlineStr">
        <is>
          <t>—</t>
        </is>
      </c>
      <c r="L102" s="60" t="inlineStr">
        <is>
          <t>持续亏损</t>
        </is>
      </c>
      <c r="M102" s="61" t="n"/>
      <c r="N102" s="61" t="n"/>
      <c r="O102" s="61" t="n"/>
      <c r="P102" s="62">
        <f>IF(N102="","",IFERROR((M102-N102)/N102,""))</f>
        <v/>
      </c>
      <c r="Q102" s="63" t="n"/>
      <c r="R102" s="63" t="n"/>
      <c r="S102" s="64" t="n"/>
      <c r="T102" s="65" t="n"/>
      <c r="U102" s="65" t="n"/>
      <c r="V102" s="63" t="n"/>
      <c r="W102" s="63" t="n"/>
      <c r="X102" s="63" t="n"/>
      <c r="Y102" s="63" t="n"/>
      <c r="Z102" s="62">
        <f>IF(COUNT(V102:Y102)=0,"",ROUND(AVERAGE(V102:Y102),1))</f>
        <v/>
      </c>
      <c r="AA102" s="62">
        <f>IF(COUNT(Q102:R102)=0,"",ROUND(AVERAGE(Q102:R102),1))</f>
        <v/>
      </c>
      <c r="AB102" s="62">
        <f>IF(AND(Z102="",AA102=""),"",ROUND(IFERROR(Z102,0)*0.6+IFERROR(AA102,0)*0.4,1))</f>
        <v/>
      </c>
      <c r="AC102" s="66" t="n"/>
    </row>
    <row r="103" ht="48" customHeight="1" s="45">
      <c r="A103" s="54" t="n">
        <v>102</v>
      </c>
      <c r="B103" s="54" t="inlineStr">
        <is>
          <t>FCEL</t>
        </is>
      </c>
      <c r="C103" s="55" t="inlineStr">
        <is>
          <t>FuelCell Energy</t>
        </is>
      </c>
      <c r="D103" s="80" t="inlineStr">
        <is>
          <t>L13·储能/燃料电池</t>
        </is>
      </c>
      <c r="E103" s="60" t="inlineStr">
        <is>
          <t>熔融碳酸盐燃料电池</t>
        </is>
      </c>
      <c r="F103" s="73" t="inlineStr">
        <is>
          <t>概念</t>
        </is>
      </c>
      <c r="G103" s="58" t="inlineStr">
        <is>
          <t>★★☆☆☆</t>
        </is>
      </c>
      <c r="H103" s="59" t="inlineStr">
        <is>
          <t>题材交易</t>
        </is>
      </c>
      <c r="I103" s="60" t="inlineStr">
        <is>
          <t>燃料电池小盘；现金流紧张</t>
        </is>
      </c>
      <c r="J103" s="60" t="inlineStr">
        <is>
          <t>新订单</t>
        </is>
      </c>
      <c r="K103" s="55" t="inlineStr">
        <is>
          <t>—</t>
        </is>
      </c>
      <c r="L103" s="60" t="inlineStr">
        <is>
          <t>持续亏损</t>
        </is>
      </c>
      <c r="M103" s="61" t="n"/>
      <c r="N103" s="61" t="n"/>
      <c r="O103" s="61" t="n"/>
      <c r="P103" s="62">
        <f>IF(N103="","",IFERROR((M103-N103)/N103,""))</f>
        <v/>
      </c>
      <c r="Q103" s="63" t="n"/>
      <c r="R103" s="63" t="n"/>
      <c r="S103" s="64" t="n"/>
      <c r="T103" s="65" t="n"/>
      <c r="U103" s="65" t="n"/>
      <c r="V103" s="63" t="n"/>
      <c r="W103" s="63" t="n"/>
      <c r="X103" s="63" t="n"/>
      <c r="Y103" s="63" t="n"/>
      <c r="Z103" s="62">
        <f>IF(COUNT(V103:Y103)=0,"",ROUND(AVERAGE(V103:Y103),1))</f>
        <v/>
      </c>
      <c r="AA103" s="62">
        <f>IF(COUNT(Q103:R103)=0,"",ROUND(AVERAGE(Q103:R103),1))</f>
        <v/>
      </c>
      <c r="AB103" s="62">
        <f>IF(AND(Z103="",AA103=""),"",ROUND(IFERROR(Z103,0)*0.6+IFERROR(AA103,0)*0.4,1))</f>
        <v/>
      </c>
      <c r="AC103" s="66" t="n"/>
    </row>
    <row r="104" ht="48" customHeight="1" s="45">
      <c r="A104" s="54" t="n">
        <v>103</v>
      </c>
      <c r="B104" s="54" t="inlineStr">
        <is>
          <t>ENPH</t>
        </is>
      </c>
      <c r="C104" s="55" t="inlineStr">
        <is>
          <t>Enphase</t>
        </is>
      </c>
      <c r="D104" s="80" t="inlineStr">
        <is>
          <t>L13·储能/燃料电池</t>
        </is>
      </c>
      <c r="E104" s="60" t="inlineStr">
        <is>
          <t>户用微逆+储能</t>
        </is>
      </c>
      <c r="F104" s="67" t="inlineStr">
        <is>
          <t>二线</t>
        </is>
      </c>
      <c r="G104" s="58" t="inlineStr">
        <is>
          <t>★★★☆☆</t>
        </is>
      </c>
      <c r="H104" s="59" t="inlineStr">
        <is>
          <t>卫星</t>
        </is>
      </c>
      <c r="I104" s="60" t="inlineStr">
        <is>
          <t>户用微逆变器+电池；周期复苏</t>
        </is>
      </c>
      <c r="J104" s="60" t="inlineStr">
        <is>
          <t>美国户用复苏</t>
        </is>
      </c>
      <c r="K104" s="55" t="inlineStr">
        <is>
          <t>—</t>
        </is>
      </c>
      <c r="L104" s="60" t="inlineStr">
        <is>
          <t>周期</t>
        </is>
      </c>
      <c r="M104" s="61" t="n"/>
      <c r="N104" s="61" t="n"/>
      <c r="O104" s="61" t="n"/>
      <c r="P104" s="62">
        <f>IF(N104="","",IFERROR((M104-N104)/N104,""))</f>
        <v/>
      </c>
      <c r="Q104" s="63" t="n"/>
      <c r="R104" s="63" t="n"/>
      <c r="S104" s="64" t="n"/>
      <c r="T104" s="65" t="n"/>
      <c r="U104" s="65" t="n"/>
      <c r="V104" s="63" t="n"/>
      <c r="W104" s="63" t="n"/>
      <c r="X104" s="63" t="n"/>
      <c r="Y104" s="63" t="n"/>
      <c r="Z104" s="62">
        <f>IF(COUNT(V104:Y104)=0,"",ROUND(AVERAGE(V104:Y104),1))</f>
        <v/>
      </c>
      <c r="AA104" s="62">
        <f>IF(COUNT(Q104:R104)=0,"",ROUND(AVERAGE(Q104:R104),1))</f>
        <v/>
      </c>
      <c r="AB104" s="62">
        <f>IF(AND(Z104="",AA104=""),"",ROUND(IFERROR(Z104,0)*0.6+IFERROR(AA104,0)*0.4,1))</f>
        <v/>
      </c>
      <c r="AC104" s="66" t="n"/>
    </row>
    <row r="105" ht="48" customHeight="1" s="45">
      <c r="A105" s="54" t="n">
        <v>104</v>
      </c>
      <c r="B105" s="54" t="inlineStr">
        <is>
          <t>MTSI</t>
        </is>
      </c>
      <c r="C105" s="55" t="inlineStr">
        <is>
          <t>MACOM</t>
        </is>
      </c>
      <c r="D105" s="70" t="inlineStr">
        <is>
          <t>L4·机架内互联</t>
        </is>
      </c>
      <c r="E105" s="55" t="inlineStr">
        <is>
          <t>RF/光模拟+TIA/Driver</t>
        </is>
      </c>
      <c r="F105" s="67" t="inlineStr">
        <is>
          <t>二线</t>
        </is>
      </c>
      <c r="G105" s="58" t="inlineStr">
        <is>
          <t>★★★★☆</t>
        </is>
      </c>
      <c r="H105" s="59" t="inlineStr">
        <is>
          <t>卫星</t>
        </is>
      </c>
      <c r="I105" s="60" t="inlineStr">
        <is>
          <t>光模块 TIA/Driver+雷达 RF；800G/1.6T DSP 周边受益</t>
        </is>
      </c>
      <c r="J105" s="60" t="inlineStr">
        <is>
          <t>数据中心营收占比</t>
        </is>
      </c>
      <c r="K105" s="55" t="inlineStr">
        <is>
          <t>—</t>
        </is>
      </c>
      <c r="L105" s="60" t="inlineStr">
        <is>
          <t>周期</t>
        </is>
      </c>
      <c r="M105" s="61" t="n"/>
      <c r="N105" s="61" t="n"/>
      <c r="O105" s="61" t="n"/>
      <c r="P105" s="62">
        <f>IF(N105="","",IFERROR((M105-N105)/N105,""))</f>
        <v/>
      </c>
      <c r="Q105" s="63" t="n"/>
      <c r="R105" s="63" t="n"/>
      <c r="S105" s="64" t="n"/>
      <c r="T105" s="65" t="n"/>
      <c r="U105" s="65" t="n"/>
      <c r="V105" s="63" t="n"/>
      <c r="W105" s="63" t="n"/>
      <c r="X105" s="63" t="n"/>
      <c r="Y105" s="63" t="n"/>
      <c r="Z105" s="62">
        <f>IF(COUNT(V105:Y105)=0,"",ROUND(AVERAGE(V105:Y105),1))</f>
        <v/>
      </c>
      <c r="AA105" s="62">
        <f>IF(COUNT(Q105:R105)=0,"",ROUND(AVERAGE(Q105:R105),1))</f>
        <v/>
      </c>
      <c r="AB105" s="62">
        <f>IF(AND(Z105="",AA105=""),"",ROUND(IFERROR(Z105,0)*0.6+IFERROR(AA105,0)*0.4,1))</f>
        <v/>
      </c>
      <c r="AC105" s="66" t="n"/>
    </row>
    <row r="106" ht="48" customHeight="1" s="45">
      <c r="A106" s="54" t="n">
        <v>105</v>
      </c>
      <c r="B106" s="54" t="inlineStr">
        <is>
          <t>MXL</t>
        </is>
      </c>
      <c r="C106" s="55" t="inlineStr">
        <is>
          <t>MaxLinear</t>
        </is>
      </c>
      <c r="D106" s="70" t="inlineStr">
        <is>
          <t>L4·机架内互联</t>
        </is>
      </c>
      <c r="E106" s="55" t="inlineStr">
        <is>
          <t>PHY/Retimer/Driver</t>
        </is>
      </c>
      <c r="F106" s="67" t="inlineStr">
        <is>
          <t>二线</t>
        </is>
      </c>
      <c r="G106" s="58" t="inlineStr">
        <is>
          <t>★★★☆☆</t>
        </is>
      </c>
      <c r="H106" s="59" t="inlineStr">
        <is>
          <t>题材交易</t>
        </is>
      </c>
      <c r="I106" s="60" t="inlineStr">
        <is>
          <t>数据中心高速 PHY+混合信号；与博通 Sage 项目相关</t>
        </is>
      </c>
      <c r="J106" s="55" t="inlineStr">
        <is>
          <t>AI 数据中心营收恢复</t>
        </is>
      </c>
      <c r="K106" s="55" t="inlineStr">
        <is>
          <t>—</t>
        </is>
      </c>
      <c r="L106" s="60" t="inlineStr">
        <is>
          <t>宽带消费萎缩拖累</t>
        </is>
      </c>
      <c r="M106" s="61" t="n"/>
      <c r="N106" s="61" t="n"/>
      <c r="O106" s="61" t="n"/>
      <c r="P106" s="62">
        <f>IF(N106="","",IFERROR((M106-N106)/N106,""))</f>
        <v/>
      </c>
      <c r="Q106" s="63" t="n"/>
      <c r="R106" s="63" t="n"/>
      <c r="S106" s="64" t="n"/>
      <c r="T106" s="65" t="n"/>
      <c r="U106" s="65" t="n"/>
      <c r="V106" s="63" t="n"/>
      <c r="W106" s="63" t="n"/>
      <c r="X106" s="63" t="n"/>
      <c r="Y106" s="63" t="n"/>
      <c r="Z106" s="62">
        <f>IF(COUNT(V106:Y106)=0,"",ROUND(AVERAGE(V106:Y106),1))</f>
        <v/>
      </c>
      <c r="AA106" s="62">
        <f>IF(COUNT(Q106:R106)=0,"",ROUND(AVERAGE(Q106:R106),1))</f>
        <v/>
      </c>
      <c r="AB106" s="62">
        <f>IF(AND(Z106="",AA106=""),"",ROUND(IFERROR(Z106,0)*0.6+IFERROR(AA106,0)*0.4,1))</f>
        <v/>
      </c>
      <c r="AC106" s="66" t="n"/>
    </row>
    <row r="107" ht="48" customHeight="1" s="45">
      <c r="A107" s="54" t="n">
        <v>106</v>
      </c>
      <c r="B107" s="54" t="inlineStr">
        <is>
          <t>KEYS</t>
        </is>
      </c>
      <c r="C107" s="55" t="inlineStr">
        <is>
          <t>Keysight Tech</t>
        </is>
      </c>
      <c r="D107" s="76" t="inlineStr">
        <is>
          <t>L9·半导体底座</t>
        </is>
      </c>
      <c r="E107" s="60" t="inlineStr">
        <is>
          <t>高速测试设备</t>
        </is>
      </c>
      <c r="F107" s="57" t="inlineStr">
        <is>
          <t>龙头</t>
        </is>
      </c>
      <c r="G107" s="58" t="inlineStr">
        <is>
          <t>★★★★☆</t>
        </is>
      </c>
      <c r="H107" s="59" t="inlineStr">
        <is>
          <t>卫星</t>
        </is>
      </c>
      <c r="I107" s="55" t="inlineStr">
        <is>
          <t>800G/1.6T 光模块测试设备龙头；6300 万片产线必经</t>
        </is>
      </c>
      <c r="J107" s="55" t="inlineStr">
        <is>
          <t>AI 测试设备订单</t>
        </is>
      </c>
      <c r="K107" s="55" t="inlineStr">
        <is>
          <t>—</t>
        </is>
      </c>
      <c r="L107" s="60" t="inlineStr">
        <is>
          <t>通用工业测试拖累</t>
        </is>
      </c>
      <c r="M107" s="61" t="n"/>
      <c r="N107" s="61" t="n"/>
      <c r="O107" s="61" t="n"/>
      <c r="P107" s="62">
        <f>IF(N107="","",IFERROR((M107-N107)/N107,""))</f>
        <v/>
      </c>
      <c r="Q107" s="63" t="n"/>
      <c r="R107" s="63" t="n"/>
      <c r="S107" s="64" t="n"/>
      <c r="T107" s="65" t="n"/>
      <c r="U107" s="65" t="n"/>
      <c r="V107" s="63" t="n"/>
      <c r="W107" s="63" t="n"/>
      <c r="X107" s="63" t="n"/>
      <c r="Y107" s="63" t="n"/>
      <c r="Z107" s="62">
        <f>IF(COUNT(V107:Y107)=0,"",ROUND(AVERAGE(V107:Y107),1))</f>
        <v/>
      </c>
      <c r="AA107" s="62">
        <f>IF(COUNT(Q107:R107)=0,"",ROUND(AVERAGE(Q107:R107),1))</f>
        <v/>
      </c>
      <c r="AB107" s="62">
        <f>IF(AND(Z107="",AA107=""),"",ROUND(IFERROR(Z107,0)*0.6+IFERROR(AA107,0)*0.4,1))</f>
        <v/>
      </c>
      <c r="AC107" s="66" t="n"/>
    </row>
    <row r="108" ht="48" customHeight="1" s="45">
      <c r="A108" s="54" t="n">
        <v>107</v>
      </c>
      <c r="B108" s="54" t="inlineStr">
        <is>
          <t>VIAV</t>
        </is>
      </c>
      <c r="C108" s="55" t="inlineStr">
        <is>
          <t>Viavi Solutions</t>
        </is>
      </c>
      <c r="D108" s="76" t="inlineStr">
        <is>
          <t>L9·半导体底座</t>
        </is>
      </c>
      <c r="E108" s="60" t="inlineStr">
        <is>
          <t>光网测试+生产线</t>
        </is>
      </c>
      <c r="F108" s="67" t="inlineStr">
        <is>
          <t>二线</t>
        </is>
      </c>
      <c r="G108" s="58" t="inlineStr">
        <is>
          <t>★★★★☆</t>
        </is>
      </c>
      <c r="H108" s="59" t="inlineStr">
        <is>
          <t>题材交易</t>
        </is>
      </c>
      <c r="I108" s="60" t="inlineStr">
        <is>
          <t>光模块出厂测试+5G/光网网测</t>
        </is>
      </c>
      <c r="J108" s="60" t="inlineStr">
        <is>
          <t>光模块产线测试营收</t>
        </is>
      </c>
      <c r="K108" s="55" t="inlineStr">
        <is>
          <t>—</t>
        </is>
      </c>
      <c r="L108" s="55" t="inlineStr">
        <is>
          <t>5G 测试周期</t>
        </is>
      </c>
      <c r="M108" s="61" t="n"/>
      <c r="N108" s="61" t="n"/>
      <c r="O108" s="61" t="n"/>
      <c r="P108" s="62">
        <f>IF(N108="","",IFERROR((M108-N108)/N108,""))</f>
        <v/>
      </c>
      <c r="Q108" s="63" t="n"/>
      <c r="R108" s="63" t="n"/>
      <c r="S108" s="64" t="n"/>
      <c r="T108" s="65" t="n"/>
      <c r="U108" s="65" t="n"/>
      <c r="V108" s="63" t="n"/>
      <c r="W108" s="63" t="n"/>
      <c r="X108" s="63" t="n"/>
      <c r="Y108" s="63" t="n"/>
      <c r="Z108" s="62">
        <f>IF(COUNT(V108:Y108)=0,"",ROUND(AVERAGE(V108:Y108),1))</f>
        <v/>
      </c>
      <c r="AA108" s="62">
        <f>IF(COUNT(Q108:R108)=0,"",ROUND(AVERAGE(Q108:R108),1))</f>
        <v/>
      </c>
      <c r="AB108" s="62">
        <f>IF(AND(Z108="",AA108=""),"",ROUND(IFERROR(Z108,0)*0.6+IFERROR(AA108,0)*0.4,1))</f>
        <v/>
      </c>
      <c r="AC108" s="66" t="n"/>
    </row>
    <row r="109" ht="48" customHeight="1" s="45">
      <c r="A109" s="54" t="n">
        <v>108</v>
      </c>
      <c r="B109" s="54" t="inlineStr">
        <is>
          <t>GLW</t>
        </is>
      </c>
      <c r="C109" s="55" t="inlineStr">
        <is>
          <t>Corning</t>
        </is>
      </c>
      <c r="D109" s="72" t="inlineStr">
        <is>
          <t>L6·光通信</t>
        </is>
      </c>
      <c r="E109" s="60" t="inlineStr">
        <is>
          <t>光纤+特种玻璃</t>
        </is>
      </c>
      <c r="F109" s="57" t="inlineStr">
        <is>
          <t>龙头</t>
        </is>
      </c>
      <c r="G109" s="58" t="inlineStr">
        <is>
          <t>★★★★☆</t>
        </is>
      </c>
      <c r="H109" s="59" t="inlineStr">
        <is>
          <t>卫星</t>
        </is>
      </c>
      <c r="I109" s="60" t="inlineStr">
        <is>
          <t>光纤 + 显示玻璃 + 高世代 OLED 玻璃；hyperscaler 光纤大单</t>
        </is>
      </c>
      <c r="J109" s="60" t="inlineStr">
        <is>
          <t>光纤业务订单</t>
        </is>
      </c>
      <c r="K109" s="55" t="inlineStr">
        <is>
          <t>—</t>
        </is>
      </c>
      <c r="L109" s="60" t="inlineStr">
        <is>
          <t>传统业务拖累</t>
        </is>
      </c>
      <c r="M109" s="61" t="n"/>
      <c r="N109" s="61" t="n"/>
      <c r="O109" s="61" t="n"/>
      <c r="P109" s="62">
        <f>IF(N109="","",IFERROR((M109-N109)/N109,""))</f>
        <v/>
      </c>
      <c r="Q109" s="63" t="n"/>
      <c r="R109" s="63" t="n"/>
      <c r="S109" s="64" t="n"/>
      <c r="T109" s="65" t="n"/>
      <c r="U109" s="65" t="n"/>
      <c r="V109" s="63" t="n"/>
      <c r="W109" s="63" t="n"/>
      <c r="X109" s="63" t="n"/>
      <c r="Y109" s="63" t="n"/>
      <c r="Z109" s="62">
        <f>IF(COUNT(V109:Y109)=0,"",ROUND(AVERAGE(V109:Y109),1))</f>
        <v/>
      </c>
      <c r="AA109" s="62">
        <f>IF(COUNT(Q109:R109)=0,"",ROUND(AVERAGE(Q109:R109),1))</f>
        <v/>
      </c>
      <c r="AB109" s="62">
        <f>IF(AND(Z109="",AA109=""),"",ROUND(IFERROR(Z109,0)*0.6+IFERROR(AA109,0)*0.4,1))</f>
        <v/>
      </c>
      <c r="AC109" s="66" t="n"/>
    </row>
    <row r="110" ht="48" customHeight="1" s="45">
      <c r="A110" s="81" t="n">
        <v>109</v>
      </c>
      <c r="B110" s="81" t="inlineStr">
        <is>
          <t>TTMI</t>
        </is>
      </c>
      <c r="C110" s="82" t="inlineStr">
        <is>
          <t>TTM Technologies</t>
        </is>
      </c>
      <c r="D110" s="83" t="inlineStr">
        <is>
          <t>L7·整柜·OEM</t>
        </is>
      </c>
      <c r="E110" s="82" t="inlineStr">
        <is>
          <t>AI 高端 PCB 制造</t>
        </is>
      </c>
      <c r="F110" s="84" t="inlineStr">
        <is>
          <t>龙头</t>
        </is>
      </c>
      <c r="G110" s="85" t="inlineStr">
        <is>
          <t>★★★★★</t>
        </is>
      </c>
      <c r="H110" s="81" t="inlineStr">
        <is>
          <t>题材交易</t>
        </is>
      </c>
      <c r="I110" s="82" t="inlineStr">
        <is>
          <t>AI 服务器 PCB 复杂度跳级 (M9 板); 高端 HDI/Q 布 PCB 新位置</t>
        </is>
      </c>
      <c r="J110" s="82" t="inlineStr">
        <is>
          <t>AI PCB 收入占比</t>
        </is>
      </c>
      <c r="K110" s="82" t="inlineStr">
        <is>
          <t>沪电股份·胜宏科技</t>
        </is>
      </c>
      <c r="L110" s="82" t="inlineStr">
        <is>
          <t>周期+地缘</t>
        </is>
      </c>
      <c r="M110" s="86" t="n"/>
      <c r="N110" s="86" t="n"/>
      <c r="O110" s="86" t="n"/>
      <c r="P110" s="87">
        <f>IF(N110="","",IFERROR((M110-N110)/N110,""))</f>
        <v/>
      </c>
      <c r="Q110" s="88" t="n"/>
      <c r="R110" s="88" t="n"/>
      <c r="S110" s="89" t="n"/>
      <c r="T110" s="90" t="n"/>
      <c r="U110" s="90" t="n"/>
      <c r="V110" s="88" t="n"/>
      <c r="W110" s="88" t="n"/>
      <c r="X110" s="88" t="n"/>
      <c r="Y110" s="88" t="n"/>
      <c r="Z110" s="87">
        <f>IF(COUNT(V110:Y110)=0,"",ROUND(AVERAGE(V110:Y110),1))</f>
        <v/>
      </c>
      <c r="AA110" s="87">
        <f>IF(COUNT(Q110:R110)=0,"",ROUND(AVERAGE(Q110:R110),1))</f>
        <v/>
      </c>
      <c r="AB110" s="87">
        <f>IF(AND(Z110="",AA110=""),"",ROUND(IFERROR(Z110,0)*0.6+IFERROR(AA110,0)*0.4,1))</f>
        <v/>
      </c>
      <c r="AC110" s="91" t="n"/>
    </row>
    <row r="111" ht="48" customHeight="1" s="45">
      <c r="A111" s="81" t="n">
        <v>110</v>
      </c>
      <c r="B111" s="81" t="inlineStr">
        <is>
          <t>HXL</t>
        </is>
      </c>
      <c r="C111" s="82" t="inlineStr">
        <is>
          <t>Hexcel</t>
        </is>
      </c>
      <c r="D111" s="92" t="inlineStr">
        <is>
          <t>L9·半导体底座</t>
        </is>
      </c>
      <c r="E111" s="82" t="inlineStr">
        <is>
          <t>复合材料/纤维</t>
        </is>
      </c>
      <c r="F111" s="93" t="inlineStr">
        <is>
          <t>二线</t>
        </is>
      </c>
      <c r="G111" s="85" t="inlineStr">
        <is>
          <t>★★★☆☆</t>
        </is>
      </c>
      <c r="H111" s="81" t="inlineStr">
        <is>
          <t>题材交易</t>
        </is>
      </c>
      <c r="I111" s="82" t="inlineStr">
        <is>
          <t>复合材料概念; CCL 玻纤布短缺类似去年存储</t>
        </is>
      </c>
      <c r="J111" s="82" t="inlineStr">
        <is>
          <t>AI PCB 间接需求</t>
        </is>
      </c>
      <c r="K111" s="82" t="inlineStr">
        <is>
          <t>—</t>
        </is>
      </c>
      <c r="L111" s="82" t="inlineStr">
        <is>
          <t>航空业务主导</t>
        </is>
      </c>
      <c r="M111" s="86" t="n"/>
      <c r="N111" s="86" t="n"/>
      <c r="O111" s="86" t="n"/>
      <c r="P111" s="87">
        <f>IF(N111="","",IFERROR((M111-N111)/N111,""))</f>
        <v/>
      </c>
      <c r="Q111" s="88" t="n"/>
      <c r="R111" s="88" t="n"/>
      <c r="S111" s="89" t="n"/>
      <c r="T111" s="90" t="n"/>
      <c r="U111" s="90" t="n"/>
      <c r="V111" s="88" t="n"/>
      <c r="W111" s="88" t="n"/>
      <c r="X111" s="88" t="n"/>
      <c r="Y111" s="88" t="n"/>
      <c r="Z111" s="87">
        <f>IF(COUNT(V111:Y111)=0,"",ROUND(AVERAGE(V111:Y111),1))</f>
        <v/>
      </c>
      <c r="AA111" s="87">
        <f>IF(COUNT(Q111:R111)=0,"",ROUND(AVERAGE(Q111:R111),1))</f>
        <v/>
      </c>
      <c r="AB111" s="87">
        <f>IF(AND(Z111="",AA111=""),"",ROUND(IFERROR(Z111,0)*0.6+IFERROR(AA111,0)*0.4,1))</f>
        <v/>
      </c>
      <c r="AC111" s="91" t="n"/>
    </row>
    <row r="112" ht="48" customHeight="1" s="45">
      <c r="A112" s="81" t="n">
        <v>111</v>
      </c>
      <c r="B112" s="81" t="inlineStr">
        <is>
          <t>APH</t>
        </is>
      </c>
      <c r="C112" s="82" t="inlineStr">
        <is>
          <t>Amphenol</t>
        </is>
      </c>
      <c r="D112" s="94" t="inlineStr">
        <is>
          <t>L4·机架内互联</t>
        </is>
      </c>
      <c r="E112" s="82" t="inlineStr">
        <is>
          <t>连接器/线缆</t>
        </is>
      </c>
      <c r="F112" s="84" t="inlineStr">
        <is>
          <t>龙头</t>
        </is>
      </c>
      <c r="G112" s="85" t="inlineStr">
        <is>
          <t>★★★★☆</t>
        </is>
      </c>
      <c r="H112" s="81" t="inlineStr">
        <is>
          <t>卫星</t>
        </is>
      </c>
      <c r="I112" s="82" t="inlineStr">
        <is>
          <t>AI 服务器高速连接器+电缆; 224G/PCIe 6.0 受益</t>
        </is>
      </c>
      <c r="J112" s="82" t="inlineStr">
        <is>
          <t>数据中心营收增速</t>
        </is>
      </c>
      <c r="K112" s="82" t="inlineStr">
        <is>
          <t>立讯精密</t>
        </is>
      </c>
      <c r="L112" s="82" t="inlineStr">
        <is>
          <t>估值高</t>
        </is>
      </c>
      <c r="M112" s="86" t="n"/>
      <c r="N112" s="86" t="n"/>
      <c r="O112" s="86" t="n"/>
      <c r="P112" s="87">
        <f>IF(N112="","",IFERROR((M112-N112)/N112,""))</f>
        <v/>
      </c>
      <c r="Q112" s="88" t="n"/>
      <c r="R112" s="88" t="n"/>
      <c r="S112" s="89" t="n"/>
      <c r="T112" s="90" t="n"/>
      <c r="U112" s="90" t="n"/>
      <c r="V112" s="88" t="n"/>
      <c r="W112" s="88" t="n"/>
      <c r="X112" s="88" t="n"/>
      <c r="Y112" s="88" t="n"/>
      <c r="Z112" s="87">
        <f>IF(COUNT(V112:Y112)=0,"",ROUND(AVERAGE(V112:Y112),1))</f>
        <v/>
      </c>
      <c r="AA112" s="87">
        <f>IF(COUNT(Q112:R112)=0,"",ROUND(AVERAGE(Q112:R112),1))</f>
        <v/>
      </c>
      <c r="AB112" s="87">
        <f>IF(AND(Z112="",AA112=""),"",ROUND(IFERROR(Z112,0)*0.6+IFERROR(AA112,0)*0.4,1))</f>
        <v/>
      </c>
      <c r="AC112" s="91" t="n"/>
    </row>
    <row r="113" ht="48" customHeight="1" s="45">
      <c r="A113" s="81" t="n">
        <v>112</v>
      </c>
      <c r="B113" s="81" t="inlineStr">
        <is>
          <t>ROG</t>
        </is>
      </c>
      <c r="C113" s="82" t="inlineStr">
        <is>
          <t>Rogers Corp</t>
        </is>
      </c>
      <c r="D113" s="94" t="inlineStr">
        <is>
          <t>L4·机架内互联</t>
        </is>
      </c>
      <c r="E113" s="82" t="inlineStr">
        <is>
          <t>高频 PCB 基板</t>
        </is>
      </c>
      <c r="F113" s="93" t="inlineStr">
        <is>
          <t>二线</t>
        </is>
      </c>
      <c r="G113" s="85" t="inlineStr">
        <is>
          <t>★★★★☆</t>
        </is>
      </c>
      <c r="H113" s="81" t="inlineStr">
        <is>
          <t>题材交易</t>
        </is>
      </c>
      <c r="I113" s="82" t="inlineStr">
        <is>
          <t>射频+ADAS+AI 服务器高频材料; 800G/1.6T PCB 上行</t>
        </is>
      </c>
      <c r="J113" s="82" t="inlineStr">
        <is>
          <t>AI 营收占比</t>
        </is>
      </c>
      <c r="K113" s="82" t="inlineStr">
        <is>
          <t>生益科技</t>
        </is>
      </c>
      <c r="L113" s="82" t="inlineStr">
        <is>
          <t>汽车业务波动</t>
        </is>
      </c>
      <c r="M113" s="86" t="n"/>
      <c r="N113" s="86" t="n"/>
      <c r="O113" s="86" t="n"/>
      <c r="P113" s="87">
        <f>IF(N113="","",IFERROR((M113-N113)/N113,""))</f>
        <v/>
      </c>
      <c r="Q113" s="88" t="n"/>
      <c r="R113" s="88" t="n"/>
      <c r="S113" s="89" t="n"/>
      <c r="T113" s="90" t="n"/>
      <c r="U113" s="90" t="n"/>
      <c r="V113" s="88" t="n"/>
      <c r="W113" s="88" t="n"/>
      <c r="X113" s="88" t="n"/>
      <c r="Y113" s="88" t="n"/>
      <c r="Z113" s="87">
        <f>IF(COUNT(V113:Y113)=0,"",ROUND(AVERAGE(V113:Y113),1))</f>
        <v/>
      </c>
      <c r="AA113" s="87">
        <f>IF(COUNT(Q113:R113)=0,"",ROUND(AVERAGE(Q113:R113),1))</f>
        <v/>
      </c>
      <c r="AB113" s="87">
        <f>IF(AND(Z113="",AA113=""),"",ROUND(IFERROR(Z113,0)*0.6+IFERROR(AA113,0)*0.4,1))</f>
        <v/>
      </c>
      <c r="AC113" s="91" t="n"/>
    </row>
    <row r="114" ht="48" customHeight="1" s="45">
      <c r="A114" s="81" t="n">
        <v>113</v>
      </c>
      <c r="B114" s="81" t="inlineStr">
        <is>
          <t>MTRN</t>
        </is>
      </c>
      <c r="C114" s="82" t="inlineStr">
        <is>
          <t>Materion</t>
        </is>
      </c>
      <c r="D114" s="92" t="inlineStr">
        <is>
          <t>L9·半导体底座</t>
        </is>
      </c>
      <c r="E114" s="82" t="inlineStr">
        <is>
          <t>先进材料 (溅射靶材)</t>
        </is>
      </c>
      <c r="F114" s="93" t="inlineStr">
        <is>
          <t>二线</t>
        </is>
      </c>
      <c r="G114" s="85" t="inlineStr">
        <is>
          <t>★★★☆☆</t>
        </is>
      </c>
      <c r="H114" s="81" t="inlineStr">
        <is>
          <t>题材交易</t>
        </is>
      </c>
      <c r="I114" s="82" t="inlineStr">
        <is>
          <t>半导体溅射靶材+先进封装材料; AI 设备升级受益</t>
        </is>
      </c>
      <c r="J114" s="82" t="inlineStr">
        <is>
          <t>半导体材料营收</t>
        </is>
      </c>
      <c r="K114" s="82" t="inlineStr">
        <is>
          <t>—</t>
        </is>
      </c>
      <c r="L114" s="82" t="inlineStr">
        <is>
          <t>周期</t>
        </is>
      </c>
      <c r="M114" s="86" t="n"/>
      <c r="N114" s="86" t="n"/>
      <c r="O114" s="86" t="n"/>
      <c r="P114" s="87">
        <f>IF(N114="","",IFERROR((M114-N114)/N114,""))</f>
        <v/>
      </c>
      <c r="Q114" s="88" t="n"/>
      <c r="R114" s="88" t="n"/>
      <c r="S114" s="89" t="n"/>
      <c r="T114" s="90" t="n"/>
      <c r="U114" s="90" t="n"/>
      <c r="V114" s="88" t="n"/>
      <c r="W114" s="88" t="n"/>
      <c r="X114" s="88" t="n"/>
      <c r="Y114" s="88" t="n"/>
      <c r="Z114" s="87">
        <f>IF(COUNT(V114:Y114)=0,"",ROUND(AVERAGE(V114:Y114),1))</f>
        <v/>
      </c>
      <c r="AA114" s="87">
        <f>IF(COUNT(Q114:R114)=0,"",ROUND(AVERAGE(Q114:R114),1))</f>
        <v/>
      </c>
      <c r="AB114" s="87">
        <f>IF(AND(Z114="",AA114=""),"",ROUND(IFERROR(Z114,0)*0.6+IFERROR(AA114,0)*0.4,1))</f>
        <v/>
      </c>
      <c r="AC114" s="91" t="n"/>
    </row>
  </sheetData>
  <autoFilter ref="A1:AC1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44" min="1" max="1"/>
    <col width="8" customWidth="1" style="44" min="2" max="2"/>
    <col width="18" customWidth="1" style="44" min="3" max="3"/>
    <col width="22" customWidth="1" style="44" min="4" max="5"/>
    <col width="10" customWidth="1" style="44" min="6" max="6"/>
    <col width="12" customWidth="1" style="44" min="7" max="8"/>
    <col width="50" customWidth="1" style="44" min="9" max="9"/>
    <col width="30" customWidth="1" style="44" min="10" max="10"/>
    <col width="18" customWidth="1" style="44" min="11" max="11"/>
    <col width="28" customWidth="1" style="44" min="12" max="12"/>
    <col width="10" customWidth="1" style="44" min="13" max="15"/>
    <col width="11" customWidth="1" style="44" min="16" max="16"/>
    <col width="10" customWidth="1" style="44" min="17" max="19"/>
    <col width="11" customWidth="1" style="44" min="20" max="20"/>
    <col width="8" customWidth="1" style="44" min="21" max="21"/>
    <col width="11" customWidth="1" style="44" min="22" max="23"/>
    <col width="13" customWidth="1" style="44" min="24" max="24"/>
    <col width="14" customWidth="1" style="44" min="25" max="25"/>
    <col width="10" customWidth="1" style="44" min="26" max="28"/>
    <col width="12" customWidth="1" style="44" min="29" max="29"/>
  </cols>
  <sheetData>
    <row r="1" ht="27.75" customHeight="1" s="45">
      <c r="A1" s="95" t="inlineStr">
        <is>
          <t>🎯 建仓核心池  (筛选条件: 上涨潜力 ★★★★★ + 适合策略 = 核心配置)</t>
        </is>
      </c>
    </row>
    <row r="2" ht="21.75" customHeight="1" s="45">
      <c r="A2" s="96" t="inlineStr">
        <is>
          <t>共 12 只 · AI 链每层最高确定性的代表 · 黄底=待填数据 · 灰底=自动计算</t>
        </is>
      </c>
    </row>
    <row r="3" ht="36" customHeight="1" s="45">
      <c r="A3" s="46" t="inlineStr">
        <is>
          <t>序号</t>
        </is>
      </c>
      <c r="B3" s="46" t="inlineStr">
        <is>
          <t>代码</t>
        </is>
      </c>
      <c r="C3" s="46" t="inlineStr">
        <is>
          <t>公司名称</t>
        </is>
      </c>
      <c r="D3" s="46" t="inlineStr">
        <is>
          <t>所属层级</t>
        </is>
      </c>
      <c r="E3" s="46" t="inlineStr">
        <is>
          <t>子赛道</t>
        </is>
      </c>
      <c r="F3" s="46" t="inlineStr">
        <is>
          <t>角色定位</t>
        </is>
      </c>
      <c r="G3" s="46" t="inlineStr">
        <is>
          <t>上涨潜力</t>
        </is>
      </c>
      <c r="H3" s="46" t="inlineStr">
        <is>
          <t>适合策略</t>
        </is>
      </c>
      <c r="I3" s="46" t="inlineStr">
        <is>
          <t>核心逻辑</t>
        </is>
      </c>
      <c r="J3" s="46" t="inlineStr">
        <is>
          <t>关键催化剂</t>
        </is>
      </c>
      <c r="K3" s="46" t="inlineStr">
        <is>
          <t>中美互证对照</t>
        </is>
      </c>
      <c r="L3" s="46" t="inlineStr">
        <is>
          <t>风险提示</t>
        </is>
      </c>
      <c r="M3" s="47" t="inlineStr">
        <is>
          <t>当前价 ($)</t>
        </is>
      </c>
      <c r="N3" s="48" t="inlineStr">
        <is>
          <t>52W 高 ($)</t>
        </is>
      </c>
      <c r="O3" s="48" t="inlineStr">
        <is>
          <t>52W 低 ($)</t>
        </is>
      </c>
      <c r="P3" s="47" t="inlineStr">
        <is>
          <t>距 52W 高 %</t>
        </is>
      </c>
      <c r="Q3" s="48" t="inlineStr">
        <is>
          <t>3M 涨幅 %</t>
        </is>
      </c>
      <c r="R3" s="48" t="inlineStr">
        <is>
          <t>6M 涨幅 %</t>
        </is>
      </c>
      <c r="S3" s="49" t="inlineStr">
        <is>
          <t>市值 ($B)</t>
        </is>
      </c>
      <c r="T3" s="50" t="inlineStr">
        <is>
          <t>Forward P/E</t>
        </is>
      </c>
      <c r="U3" s="50" t="inlineStr">
        <is>
          <t>PEG</t>
        </is>
      </c>
      <c r="V3" s="51" t="inlineStr">
        <is>
          <t>营收 YoY %</t>
        </is>
      </c>
      <c r="W3" s="52" t="inlineStr">
        <is>
          <t>EPS YoY %</t>
        </is>
      </c>
      <c r="X3" s="52" t="inlineStr">
        <is>
          <t>EPS 12W 上修 %</t>
        </is>
      </c>
      <c r="Y3" s="51" t="inlineStr">
        <is>
          <t>营收 Guide 上修 %</t>
        </is>
      </c>
      <c r="Z3" s="53" t="inlineStr">
        <is>
          <t>增长评分</t>
        </is>
      </c>
      <c r="AA3" s="53" t="inlineStr">
        <is>
          <t>动量评分</t>
        </is>
      </c>
      <c r="AB3" s="53" t="inlineStr">
        <is>
          <t>综合评分</t>
        </is>
      </c>
      <c r="AC3" s="53" t="inlineStr">
        <is>
          <t>数据更新日期</t>
        </is>
      </c>
    </row>
    <row r="4" ht="55.5" customHeight="1" s="45">
      <c r="A4" s="54" t="n">
        <v>1</v>
      </c>
      <c r="B4" s="54" t="inlineStr">
        <is>
          <t>AMD</t>
        </is>
      </c>
      <c r="C4" s="55" t="inlineStr">
        <is>
          <t>AMD</t>
        </is>
      </c>
      <c r="D4" s="56" t="inlineStr">
        <is>
          <t>L1·算力·GPU/CPU</t>
        </is>
      </c>
      <c r="E4" s="55" t="inlineStr">
        <is>
          <t>GPU+EPYC CPU</t>
        </is>
      </c>
      <c r="F4" s="57" t="inlineStr">
        <is>
          <t>龙头</t>
        </is>
      </c>
      <c r="G4" s="58" t="inlineStr">
        <is>
          <t>★★★★★</t>
        </is>
      </c>
      <c r="H4" s="59" t="inlineStr">
        <is>
          <t>核心配置</t>
        </is>
      </c>
      <c r="I4" s="55" t="inlineStr">
        <is>
          <t>MI300/325X→MI400 追赶；EPYC 在 hyperscaler 抢份额</t>
        </is>
      </c>
      <c r="J4" s="55" t="inlineStr">
        <is>
          <t>MI400 时间表；CY26 大单落地</t>
        </is>
      </c>
      <c r="K4" s="60" t="inlineStr">
        <is>
          <t>海光信息</t>
        </is>
      </c>
      <c r="L4" s="55" t="inlineStr">
        <is>
          <t>GPU 软件生态相对弱</t>
        </is>
      </c>
      <c r="M4" s="61" t="n"/>
      <c r="N4" s="61" t="n"/>
      <c r="O4" s="61" t="n"/>
      <c r="P4" s="62">
        <f>IF(N4="","",IFERROR((M4-N4)/N4,""))</f>
        <v/>
      </c>
      <c r="Q4" s="63" t="n"/>
      <c r="R4" s="63" t="n"/>
      <c r="S4" s="64" t="n"/>
      <c r="T4" s="65" t="n"/>
      <c r="U4" s="65" t="n"/>
      <c r="V4" s="63" t="n"/>
      <c r="W4" s="63" t="n"/>
      <c r="X4" s="63" t="n"/>
      <c r="Y4" s="63" t="n"/>
      <c r="Z4" s="62">
        <f>IF(COUNT(V4:Y4)=0,"",ROUND(AVERAGE(V4:Y4),1))</f>
        <v/>
      </c>
      <c r="AA4" s="62">
        <f>IF(COUNT(Q4:R4)=0,"",ROUND(AVERAGE(Q4:R4),1))</f>
        <v/>
      </c>
      <c r="AB4" s="62">
        <f>IF(AND(Z4="",AA4=""),"",ROUND(IFERROR(Z4,0)*0.6+IFERROR(AA4,0)*0.4,1))</f>
        <v/>
      </c>
      <c r="AC4" s="66" t="n"/>
    </row>
    <row r="5" ht="55.5" customHeight="1" s="45">
      <c r="A5" s="54" t="n">
        <v>2</v>
      </c>
      <c r="B5" s="54" t="inlineStr">
        <is>
          <t>AVGO</t>
        </is>
      </c>
      <c r="C5" s="55" t="inlineStr">
        <is>
          <t>Broadcom</t>
        </is>
      </c>
      <c r="D5" s="68" t="inlineStr">
        <is>
          <t>L2·定制硅·ASIC/EDA</t>
        </is>
      </c>
      <c r="E5" s="55" t="inlineStr">
        <is>
          <t>ASIC+网络+VMware</t>
        </is>
      </c>
      <c r="F5" s="57" t="inlineStr">
        <is>
          <t>龙头</t>
        </is>
      </c>
      <c r="G5" s="58" t="inlineStr">
        <is>
          <t>★★★★★</t>
        </is>
      </c>
      <c r="H5" s="59" t="inlineStr">
        <is>
          <t>核心配置</t>
        </is>
      </c>
      <c r="I5" s="55" t="inlineStr">
        <is>
          <t>Google TPU+Meta MTIA 独家代工；VMware 协同；第3-4个超大客户在路上</t>
        </is>
      </c>
      <c r="J5" s="60" t="inlineStr">
        <is>
          <t>新增超大客户官宣；XPU 营收指引上修</t>
        </is>
      </c>
      <c r="K5" s="60" t="inlineStr">
        <is>
          <t>寒武纪</t>
        </is>
      </c>
      <c r="L5" s="60" t="inlineStr">
        <is>
          <t>客户极度集中</t>
        </is>
      </c>
      <c r="M5" s="61" t="n"/>
      <c r="N5" s="61" t="n"/>
      <c r="O5" s="61" t="n"/>
      <c r="P5" s="62">
        <f>IF(N5="","",IFERROR((M5-N5)/N5,""))</f>
        <v/>
      </c>
      <c r="Q5" s="63" t="n"/>
      <c r="R5" s="63" t="n"/>
      <c r="S5" s="64" t="n"/>
      <c r="T5" s="65" t="n"/>
      <c r="U5" s="65" t="n"/>
      <c r="V5" s="63" t="n"/>
      <c r="W5" s="63" t="n"/>
      <c r="X5" s="63" t="n"/>
      <c r="Y5" s="63" t="n"/>
      <c r="Z5" s="62">
        <f>IF(COUNT(V5:Y5)=0,"",ROUND(AVERAGE(V5:Y5),1))</f>
        <v/>
      </c>
      <c r="AA5" s="62">
        <f>IF(COUNT(Q5:R5)=0,"",ROUND(AVERAGE(Q5:R5),1))</f>
        <v/>
      </c>
      <c r="AB5" s="62">
        <f>IF(AND(Z5="",AA5=""),"",ROUND(IFERROR(Z5,0)*0.6+IFERROR(AA5,0)*0.4,1))</f>
        <v/>
      </c>
      <c r="AC5" s="66" t="n"/>
    </row>
    <row r="6" ht="55.5" customHeight="1" s="45">
      <c r="A6" s="54" t="n">
        <v>3</v>
      </c>
      <c r="B6" s="54" t="inlineStr">
        <is>
          <t>MRVL</t>
        </is>
      </c>
      <c r="C6" s="55" t="inlineStr">
        <is>
          <t>Marvell</t>
        </is>
      </c>
      <c r="D6" s="68" t="inlineStr">
        <is>
          <t>L2·定制硅·ASIC/EDA</t>
        </is>
      </c>
      <c r="E6" s="55" t="inlineStr">
        <is>
          <t>ASIC+光 DSP+网络</t>
        </is>
      </c>
      <c r="F6" s="57" t="inlineStr">
        <is>
          <t>龙头</t>
        </is>
      </c>
      <c r="G6" s="58" t="inlineStr">
        <is>
          <t>★★★★★</t>
        </is>
      </c>
      <c r="H6" s="59" t="inlineStr">
        <is>
          <t>核心配置</t>
        </is>
      </c>
      <c r="I6" s="55" t="inlineStr">
        <is>
          <t>AWS Trainium+微软 Maia ASIC；光 DSP 寡头</t>
        </is>
      </c>
      <c r="J6" s="55" t="inlineStr">
        <is>
          <t>AI 收入翻倍指引兑现；新 ASIC 项目</t>
        </is>
      </c>
      <c r="K6" s="55" t="inlineStr">
        <is>
          <t>—</t>
        </is>
      </c>
      <c r="L6" s="60" t="inlineStr">
        <is>
          <t>客户集中；周期波动</t>
        </is>
      </c>
      <c r="M6" s="61" t="n"/>
      <c r="N6" s="61" t="n"/>
      <c r="O6" s="61" t="n"/>
      <c r="P6" s="62">
        <f>IF(N6="","",IFERROR((M6-N6)/N6,""))</f>
        <v/>
      </c>
      <c r="Q6" s="63" t="n"/>
      <c r="R6" s="63" t="n"/>
      <c r="S6" s="64" t="n"/>
      <c r="T6" s="65" t="n"/>
      <c r="U6" s="65" t="n"/>
      <c r="V6" s="63" t="n"/>
      <c r="W6" s="63" t="n"/>
      <c r="X6" s="63" t="n"/>
      <c r="Y6" s="63" t="n"/>
      <c r="Z6" s="62">
        <f>IF(COUNT(V6:Y6)=0,"",ROUND(AVERAGE(V6:Y6),1))</f>
        <v/>
      </c>
      <c r="AA6" s="62">
        <f>IF(COUNT(Q6:R6)=0,"",ROUND(AVERAGE(Q6:R6),1))</f>
        <v/>
      </c>
      <c r="AB6" s="62">
        <f>IF(AND(Z6="",AA6=""),"",ROUND(IFERROR(Z6,0)*0.6+IFERROR(AA6,0)*0.4,1))</f>
        <v/>
      </c>
      <c r="AC6" s="66" t="n"/>
    </row>
    <row r="7" ht="55.5" customHeight="1" s="45">
      <c r="A7" s="54" t="n">
        <v>4</v>
      </c>
      <c r="B7" s="54" t="inlineStr">
        <is>
          <t>MU</t>
        </is>
      </c>
      <c r="C7" s="55" t="inlineStr">
        <is>
          <t>Micron</t>
        </is>
      </c>
      <c r="D7" s="69" t="inlineStr">
        <is>
          <t>L3·内存与存储</t>
        </is>
      </c>
      <c r="E7" s="55" t="inlineStr">
        <is>
          <t>HBM+DDR5+NAND</t>
        </is>
      </c>
      <c r="F7" s="57" t="inlineStr">
        <is>
          <t>龙头</t>
        </is>
      </c>
      <c r="G7" s="58" t="inlineStr">
        <is>
          <t>★★★★★</t>
        </is>
      </c>
      <c r="H7" s="59" t="inlineStr">
        <is>
          <t>核心配置</t>
        </is>
      </c>
      <c r="I7" s="55" t="inlineStr">
        <is>
          <t>HBM3E 量产+DDR5 涨价；HBM4 路线推进</t>
        </is>
      </c>
      <c r="J7" s="55" t="inlineStr">
        <is>
          <t>HBM4 路线/份额；DRAM 涨价幅度</t>
        </is>
      </c>
      <c r="K7" s="60" t="inlineStr">
        <is>
          <t>长鑫·兆易</t>
        </is>
      </c>
      <c r="L7" s="60" t="inlineStr">
        <is>
          <t>周期下行风险</t>
        </is>
      </c>
      <c r="M7" s="61" t="n"/>
      <c r="N7" s="61" t="n"/>
      <c r="O7" s="61" t="n"/>
      <c r="P7" s="62">
        <f>IF(N7="","",IFERROR((M7-N7)/N7,""))</f>
        <v/>
      </c>
      <c r="Q7" s="63" t="n"/>
      <c r="R7" s="63" t="n"/>
      <c r="S7" s="64" t="n"/>
      <c r="T7" s="65" t="n"/>
      <c r="U7" s="65" t="n"/>
      <c r="V7" s="63" t="n"/>
      <c r="W7" s="63" t="n"/>
      <c r="X7" s="63" t="n"/>
      <c r="Y7" s="63" t="n"/>
      <c r="Z7" s="62">
        <f>IF(COUNT(V7:Y7)=0,"",ROUND(AVERAGE(V7:Y7),1))</f>
        <v/>
      </c>
      <c r="AA7" s="62">
        <f>IF(COUNT(Q7:R7)=0,"",ROUND(AVERAGE(Q7:R7),1))</f>
        <v/>
      </c>
      <c r="AB7" s="62">
        <f>IF(AND(Z7="",AA7=""),"",ROUND(IFERROR(Z7,0)*0.6+IFERROR(AA7,0)*0.4,1))</f>
        <v/>
      </c>
      <c r="AC7" s="66" t="n"/>
    </row>
    <row r="8" ht="55.5" customHeight="1" s="45">
      <c r="A8" s="54" t="n">
        <v>5</v>
      </c>
      <c r="B8" s="54" t="inlineStr">
        <is>
          <t>ALAB</t>
        </is>
      </c>
      <c r="C8" s="55" t="inlineStr">
        <is>
          <t>Astera Labs</t>
        </is>
      </c>
      <c r="D8" s="70" t="inlineStr">
        <is>
          <t>L4·机架内互联</t>
        </is>
      </c>
      <c r="E8" s="55" t="inlineStr">
        <is>
          <t>PCIe/CXL Retimer</t>
        </is>
      </c>
      <c r="F8" s="57" t="inlineStr">
        <is>
          <t>龙头</t>
        </is>
      </c>
      <c r="G8" s="58" t="inlineStr">
        <is>
          <t>★★★★★</t>
        </is>
      </c>
      <c r="H8" s="59" t="inlineStr">
        <is>
          <t>核心配置</t>
        </is>
      </c>
      <c r="I8" s="55" t="inlineStr">
        <is>
          <t>PCIe Gen5/Gen6 retimer 龙头；GPU 机柜密度提升直接受益</t>
        </is>
      </c>
      <c r="J8" s="55" t="inlineStr">
        <is>
          <t>Gen6 量产；多客户拓展</t>
        </is>
      </c>
      <c r="K8" s="55" t="inlineStr">
        <is>
          <t>—</t>
        </is>
      </c>
      <c r="L8" s="60" t="inlineStr">
        <is>
          <t>估值极高；客户集中 NVDA</t>
        </is>
      </c>
      <c r="M8" s="61" t="n"/>
      <c r="N8" s="61" t="n"/>
      <c r="O8" s="61" t="n"/>
      <c r="P8" s="62">
        <f>IF(N8="","",IFERROR((M8-N8)/N8,""))</f>
        <v/>
      </c>
      <c r="Q8" s="63" t="n"/>
      <c r="R8" s="63" t="n"/>
      <c r="S8" s="64" t="n"/>
      <c r="T8" s="65" t="n"/>
      <c r="U8" s="65" t="n"/>
      <c r="V8" s="63" t="n"/>
      <c r="W8" s="63" t="n"/>
      <c r="X8" s="63" t="n"/>
      <c r="Y8" s="63" t="n"/>
      <c r="Z8" s="62">
        <f>IF(COUNT(V8:Y8)=0,"",ROUND(AVERAGE(V8:Y8),1))</f>
        <v/>
      </c>
      <c r="AA8" s="62">
        <f>IF(COUNT(Q8:R8)=0,"",ROUND(AVERAGE(Q8:R8),1))</f>
        <v/>
      </c>
      <c r="AB8" s="62">
        <f>IF(AND(Z8="",AA8=""),"",ROUND(IFERROR(Z8,0)*0.6+IFERROR(AA8,0)*0.4,1))</f>
        <v/>
      </c>
      <c r="AC8" s="66" t="n"/>
    </row>
    <row r="9" ht="55.5" customHeight="1" s="45">
      <c r="A9" s="54" t="n">
        <v>6</v>
      </c>
      <c r="B9" s="54" t="inlineStr">
        <is>
          <t>CRDO</t>
        </is>
      </c>
      <c r="C9" s="55" t="inlineStr">
        <is>
          <t>Credo Tech</t>
        </is>
      </c>
      <c r="D9" s="70" t="inlineStr">
        <is>
          <t>L4·机架内互联</t>
        </is>
      </c>
      <c r="E9" s="55" t="inlineStr">
        <is>
          <t>AEC 有源线缆+SerDes</t>
        </is>
      </c>
      <c r="F9" s="57" t="inlineStr">
        <is>
          <t>龙头</t>
        </is>
      </c>
      <c r="G9" s="58" t="inlineStr">
        <is>
          <t>★★★★★</t>
        </is>
      </c>
      <c r="H9" s="59" t="inlineStr">
        <is>
          <t>核心配置</t>
        </is>
      </c>
      <c r="I9" s="55" t="inlineStr">
        <is>
          <t>AEC 有源铜缆替代光模块短距；800G/1.6T SerDes IP</t>
        </is>
      </c>
      <c r="J9" s="55" t="inlineStr">
        <is>
          <t>AEC 大客户(Microsoft)出货</t>
        </is>
      </c>
      <c r="K9" s="55" t="inlineStr">
        <is>
          <t>—</t>
        </is>
      </c>
      <c r="L9" s="60" t="inlineStr">
        <is>
          <t>客户集中</t>
        </is>
      </c>
      <c r="M9" s="61" t="n"/>
      <c r="N9" s="61" t="n"/>
      <c r="O9" s="61" t="n"/>
      <c r="P9" s="62">
        <f>IF(N9="","",IFERROR((M9-N9)/N9,""))</f>
        <v/>
      </c>
      <c r="Q9" s="63" t="n"/>
      <c r="R9" s="63" t="n"/>
      <c r="S9" s="64" t="n"/>
      <c r="T9" s="65" t="n"/>
      <c r="U9" s="65" t="n"/>
      <c r="V9" s="63" t="n"/>
      <c r="W9" s="63" t="n"/>
      <c r="X9" s="63" t="n"/>
      <c r="Y9" s="63" t="n"/>
      <c r="Z9" s="62">
        <f>IF(COUNT(V9:Y9)=0,"",ROUND(AVERAGE(V9:Y9),1))</f>
        <v/>
      </c>
      <c r="AA9" s="62">
        <f>IF(COUNT(Q9:R9)=0,"",ROUND(AVERAGE(Q9:R9),1))</f>
        <v/>
      </c>
      <c r="AB9" s="62">
        <f>IF(AND(Z9="",AA9=""),"",ROUND(IFERROR(Z9,0)*0.6+IFERROR(AA9,0)*0.4,1))</f>
        <v/>
      </c>
      <c r="AC9" s="66" t="n"/>
    </row>
    <row r="10" ht="55.5" customHeight="1" s="45">
      <c r="A10" s="54" t="n">
        <v>7</v>
      </c>
      <c r="B10" s="54" t="inlineStr">
        <is>
          <t>COHR</t>
        </is>
      </c>
      <c r="C10" s="55" t="inlineStr">
        <is>
          <t>Coherent</t>
        </is>
      </c>
      <c r="D10" s="72" t="inlineStr">
        <is>
          <t>L6·光通信</t>
        </is>
      </c>
      <c r="E10" s="60" t="inlineStr">
        <is>
          <t>光模块+激光器+VCSEL</t>
        </is>
      </c>
      <c r="F10" s="57" t="inlineStr">
        <is>
          <t>龙头</t>
        </is>
      </c>
      <c r="G10" s="58" t="inlineStr">
        <is>
          <t>★★★★★</t>
        </is>
      </c>
      <c r="H10" s="59" t="inlineStr">
        <is>
          <t>核心配置</t>
        </is>
      </c>
      <c r="I10" s="60" t="inlineStr">
        <is>
          <t>光模块/激光全栈+CPO 时代受益；II-VI 整合协同</t>
        </is>
      </c>
      <c r="J10" s="55" t="inlineStr">
        <is>
          <t>1.6T+CPO 出货；中际旭创对标</t>
        </is>
      </c>
      <c r="K10" s="60" t="inlineStr">
        <is>
          <t>中际旭创</t>
        </is>
      </c>
      <c r="L10" s="60" t="inlineStr">
        <is>
          <t>整合期；商品光纤价格</t>
        </is>
      </c>
      <c r="M10" s="61" t="n"/>
      <c r="N10" s="61" t="n"/>
      <c r="O10" s="61" t="n"/>
      <c r="P10" s="62">
        <f>IF(N10="","",IFERROR((M10-N10)/N10,""))</f>
        <v/>
      </c>
      <c r="Q10" s="63" t="n"/>
      <c r="R10" s="63" t="n"/>
      <c r="S10" s="64" t="n"/>
      <c r="T10" s="65" t="n"/>
      <c r="U10" s="65" t="n"/>
      <c r="V10" s="63" t="n"/>
      <c r="W10" s="63" t="n"/>
      <c r="X10" s="63" t="n"/>
      <c r="Y10" s="63" t="n"/>
      <c r="Z10" s="62">
        <f>IF(COUNT(V10:Y10)=0,"",ROUND(AVERAGE(V10:Y10),1))</f>
        <v/>
      </c>
      <c r="AA10" s="62">
        <f>IF(COUNT(Q10:R10)=0,"",ROUND(AVERAGE(Q10:R10),1))</f>
        <v/>
      </c>
      <c r="AB10" s="62">
        <f>IF(AND(Z10="",AA10=""),"",ROUND(IFERROR(Z10,0)*0.6+IFERROR(AA10,0)*0.4,1))</f>
        <v/>
      </c>
      <c r="AC10" s="66" t="n"/>
    </row>
    <row r="11" ht="55.5" customHeight="1" s="45">
      <c r="A11" s="54" t="n">
        <v>8</v>
      </c>
      <c r="B11" s="54" t="inlineStr">
        <is>
          <t>ORCL</t>
        </is>
      </c>
      <c r="C11" s="55" t="inlineStr">
        <is>
          <t>Oracle</t>
        </is>
      </c>
      <c r="D11" s="75" t="inlineStr">
        <is>
          <t>L8·云·算力工厂</t>
        </is>
      </c>
      <c r="E11" s="55" t="inlineStr">
        <is>
          <t>OCI+RPO+数据库</t>
        </is>
      </c>
      <c r="F11" s="57" t="inlineStr">
        <is>
          <t>龙头</t>
        </is>
      </c>
      <c r="G11" s="58" t="inlineStr">
        <is>
          <t>★★★★★</t>
        </is>
      </c>
      <c r="H11" s="59" t="inlineStr">
        <is>
          <t>核心配置</t>
        </is>
      </c>
      <c r="I11" s="55" t="inlineStr">
        <is>
          <t>OCI 算力订单 RPO 爆炸；与 NVDA/OpenAI 合作</t>
        </is>
      </c>
      <c r="J11" s="55" t="inlineStr">
        <is>
          <t>RPO/Capex 指引</t>
        </is>
      </c>
      <c r="K11" s="55" t="inlineStr">
        <is>
          <t>—</t>
        </is>
      </c>
      <c r="L11" s="55" t="inlineStr">
        <is>
          <t>Capex+电力卡点</t>
        </is>
      </c>
      <c r="M11" s="61" t="n"/>
      <c r="N11" s="61" t="n"/>
      <c r="O11" s="61" t="n"/>
      <c r="P11" s="62">
        <f>IF(N11="","",IFERROR((M11-N11)/N11,""))</f>
        <v/>
      </c>
      <c r="Q11" s="63" t="n"/>
      <c r="R11" s="63" t="n"/>
      <c r="S11" s="64" t="n"/>
      <c r="T11" s="65" t="n"/>
      <c r="U11" s="65" t="n"/>
      <c r="V11" s="63" t="n"/>
      <c r="W11" s="63" t="n"/>
      <c r="X11" s="63" t="n"/>
      <c r="Y11" s="63" t="n"/>
      <c r="Z11" s="62">
        <f>IF(COUNT(V11:Y11)=0,"",ROUND(AVERAGE(V11:Y11),1))</f>
        <v/>
      </c>
      <c r="AA11" s="62">
        <f>IF(COUNT(Q11:R11)=0,"",ROUND(AVERAGE(Q11:R11),1))</f>
        <v/>
      </c>
      <c r="AB11" s="62">
        <f>IF(AND(Z11="",AA11=""),"",ROUND(IFERROR(Z11,0)*0.6+IFERROR(AA11,0)*0.4,1))</f>
        <v/>
      </c>
      <c r="AC11" s="66" t="n"/>
    </row>
    <row r="12" ht="55.5" customHeight="1" s="45">
      <c r="A12" s="54" t="n">
        <v>9</v>
      </c>
      <c r="B12" s="54" t="inlineStr">
        <is>
          <t>VRT</t>
        </is>
      </c>
      <c r="C12" s="55" t="inlineStr">
        <is>
          <t>Vertiv</t>
        </is>
      </c>
      <c r="D12" s="77" t="inlineStr">
        <is>
          <t>L10·IDC 电力配套</t>
        </is>
      </c>
      <c r="E12" s="55" t="inlineStr">
        <is>
          <t>UPS+液冷+精密配电</t>
        </is>
      </c>
      <c r="F12" s="57" t="inlineStr">
        <is>
          <t>龙头</t>
        </is>
      </c>
      <c r="G12" s="58" t="inlineStr">
        <is>
          <t>★★★★★</t>
        </is>
      </c>
      <c r="H12" s="59" t="inlineStr">
        <is>
          <t>核心配置</t>
        </is>
      </c>
      <c r="I12" s="60" t="inlineStr">
        <is>
          <t>液冷+电力订单 backlog 满载；NVDA Blackwell 配套</t>
        </is>
      </c>
      <c r="J12" s="55" t="inlineStr">
        <is>
          <t>Book-to-bill；液冷营收占比</t>
        </is>
      </c>
      <c r="K12" s="55" t="inlineStr">
        <is>
          <t>—</t>
        </is>
      </c>
      <c r="L12" s="60" t="inlineStr">
        <is>
          <t>估值高</t>
        </is>
      </c>
      <c r="M12" s="61" t="n"/>
      <c r="N12" s="61" t="n"/>
      <c r="O12" s="61" t="n"/>
      <c r="P12" s="62">
        <f>IF(N12="","",IFERROR((M12-N12)/N12,""))</f>
        <v/>
      </c>
      <c r="Q12" s="63" t="n"/>
      <c r="R12" s="63" t="n"/>
      <c r="S12" s="64" t="n"/>
      <c r="T12" s="65" t="n"/>
      <c r="U12" s="65" t="n"/>
      <c r="V12" s="63" t="n"/>
      <c r="W12" s="63" t="n"/>
      <c r="X12" s="63" t="n"/>
      <c r="Y12" s="63" t="n"/>
      <c r="Z12" s="62">
        <f>IF(COUNT(V12:Y12)=0,"",ROUND(AVERAGE(V12:Y12),1))</f>
        <v/>
      </c>
      <c r="AA12" s="62">
        <f>IF(COUNT(Q12:R12)=0,"",ROUND(AVERAGE(Q12:R12),1))</f>
        <v/>
      </c>
      <c r="AB12" s="62">
        <f>IF(AND(Z12="",AA12=""),"",ROUND(IFERROR(Z12,0)*0.6+IFERROR(AA12,0)*0.4,1))</f>
        <v/>
      </c>
      <c r="AC12" s="66" t="n"/>
    </row>
    <row r="13" ht="55.5" customHeight="1" s="45">
      <c r="A13" s="54" t="n">
        <v>10</v>
      </c>
      <c r="B13" s="54" t="inlineStr">
        <is>
          <t>GEV</t>
        </is>
      </c>
      <c r="C13" s="55" t="inlineStr">
        <is>
          <t>GE Vernova</t>
        </is>
      </c>
      <c r="D13" s="77" t="inlineStr">
        <is>
          <t>L10·IDC 电力配套</t>
        </is>
      </c>
      <c r="E13" s="60" t="inlineStr">
        <is>
          <t>燃机+电网+水轮机</t>
        </is>
      </c>
      <c r="F13" s="57" t="inlineStr">
        <is>
          <t>龙头</t>
        </is>
      </c>
      <c r="G13" s="58" t="inlineStr">
        <is>
          <t>★★★★★</t>
        </is>
      </c>
      <c r="H13" s="59" t="inlineStr">
        <is>
          <t>核心配置</t>
        </is>
      </c>
      <c r="I13" s="55" t="inlineStr">
        <is>
          <t>HA 级燃机交付排到 2027+；电网设备紧缺</t>
        </is>
      </c>
      <c r="J13" s="60" t="inlineStr">
        <is>
          <t>燃机订单 backlog；2026 利润率</t>
        </is>
      </c>
      <c r="K13" s="60" t="inlineStr">
        <is>
          <t>东方电气</t>
        </is>
      </c>
      <c r="L13" s="60" t="inlineStr">
        <is>
          <t>周期+服务转型</t>
        </is>
      </c>
      <c r="M13" s="61" t="n"/>
      <c r="N13" s="61" t="n"/>
      <c r="O13" s="61" t="n"/>
      <c r="P13" s="62">
        <f>IF(N13="","",IFERROR((M13-N13)/N13,""))</f>
        <v/>
      </c>
      <c r="Q13" s="63" t="n"/>
      <c r="R13" s="63" t="n"/>
      <c r="S13" s="64" t="n"/>
      <c r="T13" s="65" t="n"/>
      <c r="U13" s="65" t="n"/>
      <c r="V13" s="63" t="n"/>
      <c r="W13" s="63" t="n"/>
      <c r="X13" s="63" t="n"/>
      <c r="Y13" s="63" t="n"/>
      <c r="Z13" s="62">
        <f>IF(COUNT(V13:Y13)=0,"",ROUND(AVERAGE(V13:Y13),1))</f>
        <v/>
      </c>
      <c r="AA13" s="62">
        <f>IF(COUNT(Q13:R13)=0,"",ROUND(AVERAGE(Q13:R13),1))</f>
        <v/>
      </c>
      <c r="AB13" s="62">
        <f>IF(AND(Z13="",AA13=""),"",ROUND(IFERROR(Z13,0)*0.6+IFERROR(AA13,0)*0.4,1))</f>
        <v/>
      </c>
      <c r="AC13" s="66" t="n"/>
    </row>
    <row r="14" ht="55.5" customHeight="1" s="45">
      <c r="A14" s="54" t="n">
        <v>11</v>
      </c>
      <c r="B14" s="54" t="inlineStr">
        <is>
          <t>CEG</t>
        </is>
      </c>
      <c r="C14" s="55" t="inlineStr">
        <is>
          <t>Constellation</t>
        </is>
      </c>
      <c r="D14" s="78" t="inlineStr">
        <is>
          <t>L11·核电/SMR</t>
        </is>
      </c>
      <c r="E14" s="60" t="inlineStr">
        <is>
          <t>美国最大核电运营商</t>
        </is>
      </c>
      <c r="F14" s="57" t="inlineStr">
        <is>
          <t>龙头</t>
        </is>
      </c>
      <c r="G14" s="58" t="inlineStr">
        <is>
          <t>★★★★★</t>
        </is>
      </c>
      <c r="H14" s="59" t="inlineStr">
        <is>
          <t>核心配置</t>
        </is>
      </c>
      <c r="I14" s="55" t="inlineStr">
        <is>
          <t>MSFT 三里岛 PPA 重启；核电资产稀缺</t>
        </is>
      </c>
      <c r="J14" s="60" t="inlineStr">
        <is>
          <t>新 PPA 公告；电价合约</t>
        </is>
      </c>
      <c r="K14" s="60" t="inlineStr">
        <is>
          <t>中核+中广核</t>
        </is>
      </c>
      <c r="L14" s="55" t="inlineStr">
        <is>
          <t>PPA 节奏；监管</t>
        </is>
      </c>
      <c r="M14" s="61" t="n"/>
      <c r="N14" s="61" t="n"/>
      <c r="O14" s="61" t="n"/>
      <c r="P14" s="62">
        <f>IF(N14="","",IFERROR((M14-N14)/N14,""))</f>
        <v/>
      </c>
      <c r="Q14" s="63" t="n"/>
      <c r="R14" s="63" t="n"/>
      <c r="S14" s="64" t="n"/>
      <c r="T14" s="65" t="n"/>
      <c r="U14" s="65" t="n"/>
      <c r="V14" s="63" t="n"/>
      <c r="W14" s="63" t="n"/>
      <c r="X14" s="63" t="n"/>
      <c r="Y14" s="63" t="n"/>
      <c r="Z14" s="62">
        <f>IF(COUNT(V14:Y14)=0,"",ROUND(AVERAGE(V14:Y14),1))</f>
        <v/>
      </c>
      <c r="AA14" s="62">
        <f>IF(COUNT(Q14:R14)=0,"",ROUND(AVERAGE(Q14:R14),1))</f>
        <v/>
      </c>
      <c r="AB14" s="62">
        <f>IF(AND(Z14="",AA14=""),"",ROUND(IFERROR(Z14,0)*0.6+IFERROR(AA14,0)*0.4,1))</f>
        <v/>
      </c>
      <c r="AC14" s="66" t="n"/>
    </row>
    <row r="15" ht="55.5" customHeight="1" s="45">
      <c r="A15" s="54" t="n">
        <v>12</v>
      </c>
      <c r="B15" s="54" t="inlineStr">
        <is>
          <t>VST</t>
        </is>
      </c>
      <c r="C15" s="55" t="inlineStr">
        <is>
          <t>Vistra Energy</t>
        </is>
      </c>
      <c r="D15" s="78" t="inlineStr">
        <is>
          <t>L11·核电/SMR</t>
        </is>
      </c>
      <c r="E15" s="60" t="inlineStr">
        <is>
          <t>核电+燃气</t>
        </is>
      </c>
      <c r="F15" s="57" t="inlineStr">
        <is>
          <t>龙头</t>
        </is>
      </c>
      <c r="G15" s="58" t="inlineStr">
        <is>
          <t>★★★★★</t>
        </is>
      </c>
      <c r="H15" s="59" t="inlineStr">
        <is>
          <t>核心配置</t>
        </is>
      </c>
      <c r="I15" s="55" t="inlineStr">
        <is>
          <t>Comanche Peak 核电+德州燃气；负荷增长</t>
        </is>
      </c>
      <c r="J15" s="60" t="inlineStr">
        <is>
          <t>新 PPA；商品价格</t>
        </is>
      </c>
      <c r="K15" s="55" t="inlineStr">
        <is>
          <t>—</t>
        </is>
      </c>
      <c r="L15" s="60" t="inlineStr">
        <is>
          <t>商品价格波动</t>
        </is>
      </c>
      <c r="M15" s="61" t="n"/>
      <c r="N15" s="61" t="n"/>
      <c r="O15" s="61" t="n"/>
      <c r="P15" s="62">
        <f>IF(N15="","",IFERROR((M15-N15)/N15,""))</f>
        <v/>
      </c>
      <c r="Q15" s="63" t="n"/>
      <c r="R15" s="63" t="n"/>
      <c r="S15" s="64" t="n"/>
      <c r="T15" s="65" t="n"/>
      <c r="U15" s="65" t="n"/>
      <c r="V15" s="63" t="n"/>
      <c r="W15" s="63" t="n"/>
      <c r="X15" s="63" t="n"/>
      <c r="Y15" s="63" t="n"/>
      <c r="Z15" s="62">
        <f>IF(COUNT(V15:Y15)=0,"",ROUND(AVERAGE(V15:Y15),1))</f>
        <v/>
      </c>
      <c r="AA15" s="62">
        <f>IF(COUNT(Q15:R15)=0,"",ROUND(AVERAGE(Q15:R15),1))</f>
        <v/>
      </c>
      <c r="AB15" s="62">
        <f>IF(AND(Z15="",AA15=""),"",ROUND(IFERROR(Z15,0)*0.6+IFERROR(AA15,0)*0.4,1))</f>
        <v/>
      </c>
      <c r="AC15" s="66" t="n"/>
    </row>
  </sheetData>
  <autoFilter ref="A3:AC15"/>
  <mergeCells count="2">
    <mergeCell ref="A2:AC2"/>
    <mergeCell ref="A1:A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4" min="1" max="1"/>
    <col width="22" customWidth="1" style="44" min="2" max="2"/>
    <col width="36" customWidth="1" style="44" min="3" max="3"/>
    <col width="28" customWidth="1" style="44" min="4" max="4"/>
    <col width="32" customWidth="1" style="44" min="5" max="5"/>
    <col width="18" customWidth="1" style="44" min="6" max="6"/>
  </cols>
  <sheetData>
    <row r="1" ht="31.5" customHeight="1" s="45">
      <c r="A1" s="46" t="inlineStr">
        <is>
          <t>主线</t>
        </is>
      </c>
      <c r="B1" s="46" t="inlineStr">
        <is>
          <t>环节</t>
        </is>
      </c>
      <c r="C1" s="46" t="inlineStr">
        <is>
          <t>美股标的</t>
        </is>
      </c>
      <c r="D1" s="46" t="inlineStr">
        <is>
          <t>国内对照标的</t>
        </is>
      </c>
      <c r="E1" s="46" t="inlineStr">
        <is>
          <t>互证信号</t>
        </is>
      </c>
      <c r="F1" s="46" t="inlineStr">
        <is>
          <t>时间差预估</t>
        </is>
      </c>
    </row>
    <row r="2" ht="36" customHeight="1" s="45">
      <c r="A2" s="59" t="inlineStr">
        <is>
          <t>光通信</t>
        </is>
      </c>
      <c r="B2" s="59" t="inlineStr">
        <is>
          <t>光模块整机</t>
        </is>
      </c>
      <c r="C2" s="55" t="inlineStr">
        <is>
          <t>COHR / LITE / AAOI / FN / CIEN</t>
        </is>
      </c>
      <c r="D2" s="60" t="inlineStr">
        <is>
          <t>中际旭创·新易盛·天孚通信</t>
        </is>
      </c>
      <c r="E2" s="60" t="inlineStr">
        <is>
          <t>美股客户指引 vs 国内出货</t>
        </is>
      </c>
      <c r="F2" s="59" t="inlineStr">
        <is>
          <t>几天 ~ 1 个月</t>
        </is>
      </c>
    </row>
    <row r="3" ht="36" customHeight="1" s="45">
      <c r="A3" s="59" t="inlineStr">
        <is>
          <t>光通信</t>
        </is>
      </c>
      <c r="B3" s="54" t="inlineStr">
        <is>
          <t>InP / 激光芯片上游</t>
        </is>
      </c>
      <c r="C3" s="55" t="inlineStr">
        <is>
          <t>AXTI / COHR / LITE / POET</t>
        </is>
      </c>
      <c r="D3" s="60" t="inlineStr">
        <is>
          <t>云南锗业·博杰·源杰科技</t>
        </is>
      </c>
      <c r="E3" s="55" t="inlineStr">
        <is>
          <t>InP 衬底涨价 / 紧缺</t>
        </is>
      </c>
      <c r="F3" s="54" t="inlineStr">
        <is>
          <t>1 ~ 2 个月</t>
        </is>
      </c>
    </row>
    <row r="4" ht="36" customHeight="1" s="45">
      <c r="A4" s="59" t="inlineStr">
        <is>
          <t>内存</t>
        </is>
      </c>
      <c r="B4" s="54" t="inlineStr">
        <is>
          <t>HBM / DDR5 / 接口</t>
        </is>
      </c>
      <c r="C4" s="55" t="inlineStr">
        <is>
          <t>MU / SNDK / WDC / STX / RMBS</t>
        </is>
      </c>
      <c r="D4" s="60" t="inlineStr">
        <is>
          <t>兆易创新·北京君正·澜起科技</t>
        </is>
      </c>
      <c r="E4" s="55" t="inlineStr">
        <is>
          <t>HBM 涨价节奏 vs DDR5 接口业绩</t>
        </is>
      </c>
      <c r="F4" s="54" t="inlineStr">
        <is>
          <t>1 季度</t>
        </is>
      </c>
    </row>
    <row r="5" ht="36" customHeight="1" s="45">
      <c r="A5" s="59" t="inlineStr">
        <is>
          <t>定制 ASIC</t>
        </is>
      </c>
      <c r="B5" s="59" t="inlineStr">
        <is>
          <t>客户自研芯片</t>
        </is>
      </c>
      <c r="C5" s="55" t="inlineStr">
        <is>
          <t>AVGO / MRVL</t>
        </is>
      </c>
      <c r="D5" s="60" t="inlineStr">
        <is>
          <t>海光信息·寒武纪</t>
        </is>
      </c>
      <c r="E5" s="55" t="inlineStr">
        <is>
          <t>AVGO/MRVL ASIC 收入 vs 国内 NPU</t>
        </is>
      </c>
      <c r="F5" s="54" t="inlineStr">
        <is>
          <t>1 ~ 2 季度</t>
        </is>
      </c>
    </row>
    <row r="6" ht="36" customHeight="1" s="45">
      <c r="A6" s="59" t="inlineStr">
        <is>
          <t>机架内互联</t>
        </is>
      </c>
      <c r="B6" s="54" t="inlineStr">
        <is>
          <t>Retimer / AEC / SerDes</t>
        </is>
      </c>
      <c r="C6" s="55" t="inlineStr">
        <is>
          <t>ALAB / CRDO / MRVL / AVGO</t>
        </is>
      </c>
      <c r="D6" s="55" t="inlineStr">
        <is>
          <t>—(国内无成熟对标)</t>
        </is>
      </c>
      <c r="E6" s="60" t="inlineStr">
        <is>
          <t>美股出货节奏可领先国内 6-12 月</t>
        </is>
      </c>
      <c r="F6" s="54" t="inlineStr">
        <is>
          <t>6 ~ 12 个月</t>
        </is>
      </c>
    </row>
    <row r="7" ht="36" customHeight="1" s="45">
      <c r="A7" s="59" t="inlineStr">
        <is>
          <t>跨节点网络</t>
        </is>
      </c>
      <c r="B7" s="54" t="inlineStr">
        <is>
          <t>AI 后端交换机</t>
        </is>
      </c>
      <c r="C7" s="55" t="inlineStr">
        <is>
          <t>ANET / CSCO / AVGO / JNPR</t>
        </is>
      </c>
      <c r="D7" s="60" t="inlineStr">
        <is>
          <t>锐捷·紫光股份</t>
        </is>
      </c>
      <c r="E7" s="55" t="inlineStr">
        <is>
          <t>ANET AI back-end 收入 vs 国内交换</t>
        </is>
      </c>
      <c r="F7" s="54" t="inlineStr">
        <is>
          <t>1 ~ 2 季度</t>
        </is>
      </c>
    </row>
    <row r="8" ht="36" customHeight="1" s="45">
      <c r="A8" s="59" t="inlineStr">
        <is>
          <t>电力配套</t>
        </is>
      </c>
      <c r="B8" s="59" t="inlineStr">
        <is>
          <t>燃机 / 配电 / 液冷</t>
        </is>
      </c>
      <c r="C8" s="55" t="inlineStr">
        <is>
          <t>GEV / VRT / ETN / MOD</t>
        </is>
      </c>
      <c r="D8" s="60" t="inlineStr">
        <is>
          <t>东方电气·英维克</t>
        </is>
      </c>
      <c r="E8" s="60" t="inlineStr">
        <is>
          <t>美股 backlog vs 国内液冷订单</t>
        </is>
      </c>
      <c r="F8" s="54" t="inlineStr">
        <is>
          <t>1 ~ 2 季度</t>
        </is>
      </c>
    </row>
    <row r="9" ht="36" customHeight="1" s="45">
      <c r="A9" s="59" t="inlineStr">
        <is>
          <t>发电</t>
        </is>
      </c>
      <c r="B9" s="59" t="inlineStr">
        <is>
          <t>核电运营+铀矿</t>
        </is>
      </c>
      <c r="C9" s="55" t="inlineStr">
        <is>
          <t>CEG / VST / TLN / CCJ</t>
        </is>
      </c>
      <c r="D9" s="60" t="inlineStr">
        <is>
          <t>中核·中广核·长江电力</t>
        </is>
      </c>
      <c r="E9" s="55" t="inlineStr">
        <is>
          <t>PPA 落地节奏 vs 国内核电核准</t>
        </is>
      </c>
      <c r="F9" s="54" t="inlineStr">
        <is>
          <t>6 ~ 12 个月</t>
        </is>
      </c>
    </row>
    <row r="10" ht="36" customHeight="1" s="45">
      <c r="A10" s="59" t="inlineStr">
        <is>
          <t>半导体底座</t>
        </is>
      </c>
      <c r="B10" s="59" t="inlineStr">
        <is>
          <t>代工+设备+封装</t>
        </is>
      </c>
      <c r="C10" s="55" t="inlineStr">
        <is>
          <t>TSM / ASML / AMAT / LRCX / KLAC</t>
        </is>
      </c>
      <c r="D10" s="60" t="inlineStr">
        <is>
          <t>中芯国际·北方华创·中微</t>
        </is>
      </c>
      <c r="E10" s="55" t="inlineStr">
        <is>
          <t>CoWoS 产能 vs 国内先进封装爬坡</t>
        </is>
      </c>
      <c r="F10" s="54" t="inlineStr">
        <is>
          <t>1 ~ 2 季度</t>
        </is>
      </c>
    </row>
    <row r="11" ht="36" customHeight="1" s="45">
      <c r="A11" s="59" t="inlineStr">
        <is>
          <t>整柜系统</t>
        </is>
      </c>
      <c r="B11" s="54" t="inlineStr">
        <is>
          <t>AI 服务器+液冷整柜</t>
        </is>
      </c>
      <c r="C11" s="55" t="inlineStr">
        <is>
          <t>SMCI / DELL / HPE</t>
        </is>
      </c>
      <c r="D11" s="60" t="inlineStr">
        <is>
          <t>工业富联·浪潮·中科曙光</t>
        </is>
      </c>
      <c r="E11" s="55" t="inlineStr">
        <is>
          <t>DELL/SMCI backlog vs 工业富联营收</t>
        </is>
      </c>
      <c r="F11" s="59" t="inlineStr">
        <is>
          <t>几周 ~ 1 季度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44" min="1" max="1"/>
    <col width="70" customWidth="1" style="44" min="2" max="2"/>
  </cols>
  <sheetData>
    <row r="1" ht="33.75" customHeight="1" s="45">
      <c r="A1" s="97" t="inlineStr">
        <is>
          <t>StockChaser · AI 链全景股票观察清单</t>
        </is>
      </c>
      <c r="B1" s="98" t="n"/>
    </row>
    <row r="2" ht="15" customHeight="1" s="45">
      <c r="A2" s="99" t="inlineStr">
        <is>
          <t>更新日期</t>
        </is>
      </c>
      <c r="B2" s="98" t="inlineStr">
        <is>
          <t>2026-05-09</t>
        </is>
      </c>
    </row>
    <row r="3" ht="15" customHeight="1" s="45">
      <c r="A3" s="99" t="inlineStr">
        <is>
          <t>数据范围</t>
        </is>
      </c>
      <c r="B3" s="99" t="inlineStr">
        <is>
          <t>美股(包含部分海外公司 ADR)</t>
        </is>
      </c>
    </row>
    <row r="4" ht="15" customHeight="1" s="45">
      <c r="A4" s="98" t="n"/>
      <c r="B4" s="98" t="n"/>
    </row>
    <row r="5" ht="15" customHeight="1" s="45">
      <c r="A5" s="100" t="inlineStr">
        <is>
          <t>【字段说明】</t>
        </is>
      </c>
      <c r="B5" s="98" t="n"/>
    </row>
    <row r="6" ht="15" customHeight="1" s="45">
      <c r="A6" s="99" t="inlineStr">
        <is>
          <t>代码 / 公司</t>
        </is>
      </c>
      <c r="B6" s="99" t="inlineStr">
        <is>
          <t>美股 ticker 与公司中文/英文名</t>
        </is>
      </c>
    </row>
    <row r="7" ht="15" customHeight="1" s="45">
      <c r="A7" s="99" t="inlineStr">
        <is>
          <t>所属层级</t>
        </is>
      </c>
      <c r="B7" s="98" t="inlineStr">
        <is>
          <t>AI 基础设施 13 层划分(L1~L13)</t>
        </is>
      </c>
    </row>
    <row r="8" ht="15" customHeight="1" s="45">
      <c r="A8" s="99" t="inlineStr">
        <is>
          <t>子赛道</t>
        </is>
      </c>
      <c r="B8" s="99" t="inlineStr">
        <is>
          <t>公司在该层中的具体定位</t>
        </is>
      </c>
    </row>
    <row r="9" ht="15" customHeight="1" s="45">
      <c r="A9" s="99" t="inlineStr">
        <is>
          <t>角色定位</t>
        </is>
      </c>
      <c r="B9" s="99" t="inlineStr">
        <is>
          <t>龙头 = 行业 #1~#2; 二线 = 第二梯队; 概念 = 题材或早期商业化</t>
        </is>
      </c>
    </row>
    <row r="10" ht="15" customHeight="1" s="45">
      <c r="A10" s="99" t="inlineStr">
        <is>
          <t>上涨潜力</t>
        </is>
      </c>
      <c r="B10" s="98" t="inlineStr">
        <is>
          <t>★1~5 综合判断: 行业景气 + 估值水位 + 催化剂密度</t>
        </is>
      </c>
    </row>
    <row r="11" ht="15" customHeight="1" s="45">
      <c r="A11" s="99" t="inlineStr">
        <is>
          <t>适合策略</t>
        </is>
      </c>
      <c r="B11" s="99" t="inlineStr">
        <is>
          <t>核心配置 = 长期重仓; 卫星 = 中期波段; 题材交易 = 短线/事件驱动</t>
        </is>
      </c>
    </row>
    <row r="12" ht="15" customHeight="1" s="45">
      <c r="A12" s="99" t="inlineStr">
        <is>
          <t>核心逻辑</t>
        </is>
      </c>
      <c r="B12" s="99" t="inlineStr">
        <is>
          <t>为什么这家公司能涨</t>
        </is>
      </c>
    </row>
    <row r="13" ht="15" customHeight="1" s="45">
      <c r="A13" s="99" t="inlineStr">
        <is>
          <t>关键催化剂</t>
        </is>
      </c>
      <c r="B13" s="99" t="inlineStr">
        <is>
          <t>下一阶段需要追踪的财报点 / 订单 / 事件</t>
        </is>
      </c>
    </row>
    <row r="14" ht="15" customHeight="1" s="45">
      <c r="A14" s="99" t="inlineStr">
        <is>
          <t>中美互证对照</t>
        </is>
      </c>
      <c r="B14" s="99" t="inlineStr">
        <is>
          <t>国内对应公司，便于做中美时间差套利</t>
        </is>
      </c>
    </row>
    <row r="15" ht="15" customHeight="1" s="45">
      <c r="A15" s="99" t="inlineStr">
        <is>
          <t>风险提示</t>
        </is>
      </c>
      <c r="B15" s="99" t="inlineStr">
        <is>
          <t>需要警惕的风险点</t>
        </is>
      </c>
    </row>
    <row r="16" ht="15" customHeight="1" s="45">
      <c r="A16" s="98" t="n"/>
      <c r="B16" s="98" t="n"/>
    </row>
    <row r="17" ht="15" customHeight="1" s="45">
      <c r="A17" s="100" t="inlineStr">
        <is>
          <t>【层级颜色说明】</t>
        </is>
      </c>
      <c r="B17" s="98" t="n"/>
    </row>
    <row r="18" ht="15" customHeight="1" s="45">
      <c r="A18" s="98" t="inlineStr">
        <is>
          <t>L1·算力·GPU/CPU</t>
        </is>
      </c>
      <c r="B18" s="98" t="inlineStr">
        <is>
          <t>GPU/CPU 算力本体</t>
        </is>
      </c>
    </row>
    <row r="19" ht="15" customHeight="1" s="45">
      <c r="A19" s="98" t="inlineStr">
        <is>
          <t>L2·定制硅·ASIC/EDA</t>
        </is>
      </c>
      <c r="B19" s="98" t="inlineStr">
        <is>
          <t>Hyperscaler 自研芯片+EDA 工具</t>
        </is>
      </c>
    </row>
    <row r="20" ht="15" customHeight="1" s="45">
      <c r="A20" s="98" t="inlineStr">
        <is>
          <t>L3·内存与存储</t>
        </is>
      </c>
      <c r="B20" s="98" t="inlineStr">
        <is>
          <t>HBM/DDR5/NAND/HDD/接口</t>
        </is>
      </c>
    </row>
    <row r="21" ht="15" customHeight="1" s="45">
      <c r="A21" s="98" t="inlineStr">
        <is>
          <t>L4·机架内互联</t>
        </is>
      </c>
      <c r="B21" s="98" t="inlineStr">
        <is>
          <t>Retimer/AEC/SerDes 机柜内高速连接</t>
        </is>
      </c>
    </row>
    <row r="22" ht="15" customHeight="1" s="45">
      <c r="A22" s="98" t="inlineStr">
        <is>
          <t>L5·跨节点网络</t>
        </is>
      </c>
      <c r="B22" s="99" t="inlineStr">
        <is>
          <t>数据中心交换机</t>
        </is>
      </c>
    </row>
    <row r="23" ht="15" customHeight="1" s="45">
      <c r="A23" s="98" t="inlineStr">
        <is>
          <t>L6·光通信</t>
        </is>
      </c>
      <c r="B23" s="99" t="inlineStr">
        <is>
          <t>光模块/光器件/激光芯片/InP 衬底</t>
        </is>
      </c>
    </row>
    <row r="24" ht="15" customHeight="1" s="45">
      <c r="A24" s="98" t="inlineStr">
        <is>
          <t>L7·整柜·OEM</t>
        </is>
      </c>
      <c r="B24" s="98" t="inlineStr">
        <is>
          <t>GPU 服务器整柜厂商</t>
        </is>
      </c>
    </row>
    <row r="25" ht="15" customHeight="1" s="45">
      <c r="A25" s="98" t="inlineStr">
        <is>
          <t>L8·云·算力工厂</t>
        </is>
      </c>
      <c r="B25" s="98" t="inlineStr">
        <is>
          <t>Hyperscaler + Neocloud + IDC REIT</t>
        </is>
      </c>
    </row>
    <row r="26" ht="15" customHeight="1" s="45">
      <c r="A26" s="98" t="inlineStr">
        <is>
          <t>L9·半导体底座</t>
        </is>
      </c>
      <c r="B26" s="99" t="inlineStr">
        <is>
          <t>代工+光刻+设备+检测+材料</t>
        </is>
      </c>
    </row>
    <row r="27" ht="15" customHeight="1" s="45">
      <c r="A27" s="98" t="inlineStr">
        <is>
          <t>L10·IDC 电力配套</t>
        </is>
      </c>
      <c r="B27" s="98" t="inlineStr">
        <is>
          <t>UPS/配电/液冷/燃机/电力 EPC</t>
        </is>
      </c>
    </row>
    <row r="28" ht="15" customHeight="1" s="45">
      <c r="A28" s="98" t="inlineStr">
        <is>
          <t>L11·核电/SMR</t>
        </is>
      </c>
      <c r="B28" s="99" t="inlineStr">
        <is>
          <t>核电运营商+SMR+铀矿</t>
        </is>
      </c>
    </row>
    <row r="29" ht="15" customHeight="1" s="45">
      <c r="A29" s="98" t="inlineStr">
        <is>
          <t>L12·水电/可再生</t>
        </is>
      </c>
      <c r="B29" s="99" t="inlineStr">
        <is>
          <t>水电+风光+常规公用事业</t>
        </is>
      </c>
    </row>
    <row r="30" ht="15" customHeight="1" s="45">
      <c r="A30" s="98" t="inlineStr">
        <is>
          <t>L13·储能/燃料电池</t>
        </is>
      </c>
      <c r="B30" s="99" t="inlineStr">
        <is>
          <t>燃料电池+大型储能</t>
        </is>
      </c>
    </row>
    <row r="31" ht="15" customHeight="1" s="45">
      <c r="A31" s="98" t="n"/>
      <c r="B31" s="98" t="n"/>
    </row>
    <row r="32" ht="15" customHeight="1" s="45">
      <c r="A32" s="100" t="inlineStr">
        <is>
          <t>【使用建议】</t>
        </is>
      </c>
      <c r="B32" s="98" t="n"/>
    </row>
    <row r="33" ht="23.25" customHeight="1" s="45">
      <c r="A33" s="99" t="inlineStr">
        <is>
          <t>① 用'层级'+'角色定位'两个维度筛选: 比如先看每层的'龙头'</t>
        </is>
      </c>
      <c r="B33" s="98" t="n"/>
    </row>
    <row r="34" ht="23.25" customHeight="1" s="45">
      <c r="A34" s="98" t="inlineStr">
        <is>
          <t>② '上涨潜力 ★4 以上 + 核心配置' 是建仓核心池</t>
        </is>
      </c>
      <c r="B34" s="98" t="n"/>
    </row>
    <row r="35" ht="23.25" customHeight="1" s="45">
      <c r="A35" s="98" t="inlineStr">
        <is>
          <t>③ '题材交易' 类需要严格止损, 仅做事件驱动</t>
        </is>
      </c>
      <c r="B35" s="98" t="n"/>
    </row>
    <row r="36" ht="23.25" customHeight="1" s="45">
      <c r="A36" s="99" t="inlineStr">
        <is>
          <t>④ 用'中美互证对照'页跟踪两边数据形成预判</t>
        </is>
      </c>
      <c r="B36" s="98" t="n"/>
    </row>
    <row r="37" ht="34.5" customHeight="1" s="45">
      <c r="A37" s="99" t="inlineStr">
        <is>
          <t>⑤ 后续可在主表右侧扩展: 当前价 / 52W 高低 / EPS 增速 / 机构上修幅度 等列</t>
        </is>
      </c>
      <c r="B37" s="98" t="n"/>
    </row>
    <row r="38" ht="15" customHeight="1" s="45">
      <c r="A38" s="98" t="n"/>
    </row>
    <row r="39" ht="15" customHeight="1" s="45">
      <c r="A39" s="100" t="inlineStr">
        <is>
          <t>【右侧扩展列说明 (M ~ AC)】</t>
        </is>
      </c>
    </row>
    <row r="40" ht="23.25" customHeight="1" s="45">
      <c r="A40" s="98" t="inlineStr">
        <is>
          <t>(蓝色 / 绿色 / 红色分组对应 价格-估值-增长-综合评分 4 段)</t>
        </is>
      </c>
    </row>
    <row r="41" ht="23.25" customHeight="1" s="45">
      <c r="A41" s="99" t="inlineStr">
        <is>
          <t>黄底 = 待填数据 (从 yfinance/Bloomberg 等抓取后填入)</t>
        </is>
      </c>
    </row>
    <row r="42" ht="23.25" customHeight="1" s="45">
      <c r="A42" s="99" t="inlineStr">
        <is>
          <t>灰底 = 自动公式 (距 52W 高 / 增长评分 / 动量评分 / 综合评分)</t>
        </is>
      </c>
    </row>
    <row r="43" ht="15" customHeight="1" s="45">
      <c r="A43" s="98" t="n"/>
    </row>
    <row r="44" ht="15" customHeight="1" s="45">
      <c r="A44" s="99" t="inlineStr">
        <is>
          <t>评分公式:</t>
        </is>
      </c>
    </row>
    <row r="45" ht="23.25" customHeight="1" s="45">
      <c r="A45" s="99" t="inlineStr">
        <is>
          <t xml:space="preserve">  增长评分 = AVERAGE(营收YoY, EPS YoY, EPS 12W 上修, 营收 Guide 上修)</t>
        </is>
      </c>
    </row>
    <row r="46" ht="23.25" customHeight="1" s="45">
      <c r="A46" s="99" t="inlineStr">
        <is>
          <t xml:space="preserve">  动量评分 = AVERAGE(3M 涨幅, 6M 涨幅)</t>
        </is>
      </c>
    </row>
    <row r="47" ht="23.25" customHeight="1" s="45">
      <c r="A47" s="99" t="inlineStr">
        <is>
          <t xml:space="preserve">  综合评分 = 增长评分×0.6 + 动量评分×0.4</t>
        </is>
      </c>
    </row>
    <row r="48" ht="15" customHeight="1" s="45">
      <c r="A48" s="98" t="n"/>
    </row>
    <row r="49" ht="27.75" customHeight="1" s="45">
      <c r="A49" s="101" t="inlineStr">
        <is>
          <t>🎯 建仓核心池 = 上涨潜力 ★★★★★ AND 适合策略 = 核心配置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2026-05-10T02:11:44Z</dcterms:created>
  <dcterms:modified xmlns:dcterms="http://purl.org/dc/terms/" xmlns:xsi="http://www.w3.org/2001/XMLSchema-instance" xsi:type="dcterms:W3CDTF">2026-05-11T03:52:26Z</dcterms:modified>
  <cp:revision>0</cp:revision>
</cp:coreProperties>
</file>